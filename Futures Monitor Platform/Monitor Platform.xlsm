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it\PTT_Quant_Manager\Futures Monitor Platform\"/>
    </mc:Choice>
  </mc:AlternateContent>
  <bookViews>
    <workbookView xWindow="600" yWindow="255" windowWidth="19320" windowHeight="7695" activeTab="1"/>
  </bookViews>
  <sheets>
    <sheet name="主表" sheetId="2" r:id="rId1"/>
    <sheet name="yeswinRTD" sheetId="7" r:id="rId2"/>
    <sheet name="temp" sheetId="6" r:id="rId3"/>
  </sheets>
  <externalReferences>
    <externalReference r:id="rId4"/>
    <externalReference r:id="rId5"/>
    <externalReference r:id="rId6"/>
  </externalReferences>
  <calcPr calcId="152511" refMode="R1C1"/>
</workbook>
</file>

<file path=xl/calcChain.xml><?xml version="1.0" encoding="utf-8"?>
<calcChain xmlns="http://schemas.openxmlformats.org/spreadsheetml/2006/main">
  <c r="C13" i="2" l="1"/>
  <c r="C1" i="2"/>
  <c r="C13" i="7"/>
  <c r="N13" i="7"/>
  <c r="M13" i="7"/>
  <c r="L13" i="7"/>
  <c r="K13" i="7"/>
  <c r="J13" i="7"/>
  <c r="I13" i="7"/>
  <c r="H13" i="7"/>
  <c r="G13" i="7"/>
  <c r="F13" i="7"/>
  <c r="E13" i="7"/>
  <c r="L11" i="7"/>
  <c r="K11" i="7"/>
  <c r="I11" i="7"/>
  <c r="H11" i="7"/>
  <c r="G11" i="7"/>
  <c r="F11" i="7"/>
  <c r="E11" i="7"/>
  <c r="B11" i="7"/>
  <c r="L10" i="7"/>
  <c r="K10" i="7"/>
  <c r="I10" i="7"/>
  <c r="H10" i="7"/>
  <c r="G10" i="7"/>
  <c r="F10" i="7"/>
  <c r="E10" i="7"/>
  <c r="B10" i="7"/>
  <c r="L9" i="7"/>
  <c r="K9" i="7"/>
  <c r="I9" i="7"/>
  <c r="H9" i="7"/>
  <c r="G9" i="7"/>
  <c r="F9" i="7"/>
  <c r="E9" i="7"/>
  <c r="B9" i="7"/>
  <c r="L8" i="7"/>
  <c r="K8" i="7"/>
  <c r="I8" i="7"/>
  <c r="H8" i="7"/>
  <c r="G8" i="7"/>
  <c r="F8" i="7"/>
  <c r="E8" i="7"/>
  <c r="B8" i="7"/>
  <c r="L7" i="7"/>
  <c r="K7" i="7"/>
  <c r="I7" i="7"/>
  <c r="H7" i="7"/>
  <c r="G7" i="7"/>
  <c r="F7" i="7"/>
  <c r="E7" i="7"/>
  <c r="B7" i="7"/>
  <c r="L6" i="7"/>
  <c r="K6" i="7"/>
  <c r="I6" i="7"/>
  <c r="H6" i="7"/>
  <c r="G6" i="7"/>
  <c r="F6" i="7"/>
  <c r="E6" i="7"/>
  <c r="B6" i="7"/>
  <c r="L5" i="7"/>
  <c r="K5" i="7"/>
  <c r="I5" i="7"/>
  <c r="H5" i="7"/>
  <c r="G5" i="7"/>
  <c r="F5" i="7"/>
  <c r="E5" i="7"/>
  <c r="B5" i="7"/>
  <c r="L4" i="7"/>
  <c r="K4" i="7"/>
  <c r="I4" i="7"/>
  <c r="H4" i="7"/>
  <c r="G4" i="7"/>
  <c r="F4" i="7"/>
  <c r="E4" i="7"/>
  <c r="B4" i="7"/>
  <c r="L3" i="7"/>
  <c r="K3" i="7"/>
  <c r="I3" i="7"/>
  <c r="H3" i="7"/>
  <c r="G3" i="7"/>
  <c r="F3" i="7"/>
  <c r="E3" i="7"/>
  <c r="B3" i="7"/>
  <c r="C10" i="7" l="1"/>
  <c r="C6" i="7"/>
  <c r="C9" i="7"/>
  <c r="C8" i="7"/>
  <c r="C4" i="7"/>
  <c r="C11" i="7"/>
  <c r="C7" i="7"/>
  <c r="C3" i="7"/>
  <c r="C5" i="7"/>
  <c r="C10" i="2"/>
  <c r="C11" i="2"/>
  <c r="C8" i="2"/>
  <c r="C9" i="2"/>
  <c r="C6" i="2"/>
  <c r="C7" i="2"/>
  <c r="C4" i="2"/>
  <c r="C5" i="2"/>
  <c r="C3" i="2"/>
  <c r="E11" i="2" l="1"/>
  <c r="F11" i="2"/>
  <c r="G11" i="2"/>
  <c r="E9" i="2"/>
  <c r="F9" i="2"/>
  <c r="G9" i="2"/>
  <c r="E10" i="2"/>
  <c r="F10" i="2"/>
  <c r="G10" i="2"/>
  <c r="G5" i="2" l="1"/>
  <c r="F5" i="2"/>
  <c r="G8" i="2"/>
  <c r="G4" i="2"/>
  <c r="E8" i="2"/>
  <c r="E4" i="2"/>
  <c r="F8" i="2"/>
  <c r="F4" i="2"/>
  <c r="F7" i="2"/>
  <c r="G7" i="2"/>
  <c r="E7" i="2"/>
  <c r="E5" i="2"/>
  <c r="E6" i="2"/>
  <c r="F6" i="2"/>
  <c r="G3" i="2"/>
  <c r="F3" i="2"/>
  <c r="E3" i="2"/>
  <c r="D13" i="7" l="1"/>
  <c r="D13" i="2" s="1"/>
  <c r="B13" i="7"/>
  <c r="B13" i="2" s="1"/>
</calcChain>
</file>

<file path=xl/sharedStrings.xml><?xml version="1.0" encoding="utf-8"?>
<sst xmlns="http://schemas.openxmlformats.org/spreadsheetml/2006/main" count="111" uniqueCount="71">
  <si>
    <t>代碼</t>
  </si>
  <si>
    <t>商品</t>
  </si>
  <si>
    <t>交易日期</t>
  </si>
  <si>
    <t>時間</t>
  </si>
  <si>
    <t>開盤</t>
  </si>
  <si>
    <t>最高</t>
  </si>
  <si>
    <t>最低</t>
  </si>
  <si>
    <t>成交</t>
  </si>
  <si>
    <t>漲跌</t>
  </si>
  <si>
    <t>漲幅%</t>
  </si>
  <si>
    <t>單量</t>
  </si>
  <si>
    <t>總量</t>
  </si>
  <si>
    <t>Name</t>
    <phoneticPr fontId="1" type="noConversion"/>
  </si>
  <si>
    <t>TradingDate</t>
  </si>
  <si>
    <t>Time</t>
  </si>
  <si>
    <t>Open</t>
  </si>
  <si>
    <t>High</t>
  </si>
  <si>
    <t>Low</t>
  </si>
  <si>
    <t>Price</t>
  </si>
  <si>
    <t>PriceChange</t>
  </si>
  <si>
    <t>PriceChangeRatio</t>
  </si>
  <si>
    <t>Volume</t>
  </si>
  <si>
    <t>TotalVolume</t>
  </si>
  <si>
    <t>目前日期為:</t>
    <phoneticPr fontId="6" type="noConversion"/>
  </si>
  <si>
    <t>3-Days</t>
    <phoneticPr fontId="6" type="noConversion"/>
  </si>
  <si>
    <t>1-Week(5 business days)</t>
    <phoneticPr fontId="6" type="noConversion"/>
  </si>
  <si>
    <t>2-Weeks(10 business days)</t>
    <phoneticPr fontId="6" type="noConversion"/>
  </si>
  <si>
    <t>1-Month</t>
    <phoneticPr fontId="6" type="noConversion"/>
  </si>
  <si>
    <t>2-Months</t>
    <phoneticPr fontId="6" type="noConversion"/>
  </si>
  <si>
    <t>1-Quarter</t>
    <phoneticPr fontId="6" type="noConversion"/>
  </si>
  <si>
    <t>2-Quarters</t>
    <phoneticPr fontId="6" type="noConversion"/>
  </si>
  <si>
    <t>1-Year</t>
    <phoneticPr fontId="6" type="noConversion"/>
  </si>
  <si>
    <t>2-Years</t>
    <phoneticPr fontId="6" type="noConversion"/>
  </si>
  <si>
    <t>FROM</t>
    <phoneticPr fontId="6" type="noConversion"/>
  </si>
  <si>
    <t>代碼</t>
    <phoneticPr fontId="6" type="noConversion"/>
  </si>
  <si>
    <t>商品</t>
    <phoneticPr fontId="6" type="noConversion"/>
  </si>
  <si>
    <t>交易日期</t>
    <phoneticPr fontId="6" type="noConversion"/>
  </si>
  <si>
    <t>時間</t>
    <phoneticPr fontId="6" type="noConversion"/>
  </si>
  <si>
    <t>成交</t>
    <phoneticPr fontId="6" type="noConversion"/>
  </si>
  <si>
    <t>當日最高</t>
    <phoneticPr fontId="6" type="noConversion"/>
  </si>
  <si>
    <t>當日最低</t>
    <phoneticPr fontId="6" type="noConversion"/>
  </si>
  <si>
    <t>起算日期</t>
    <phoneticPr fontId="6" type="noConversion"/>
  </si>
  <si>
    <t>最高</t>
    <phoneticPr fontId="6" type="noConversion"/>
  </si>
  <si>
    <t>最高日</t>
    <phoneticPr fontId="6" type="noConversion"/>
  </si>
  <si>
    <t>最低</t>
    <phoneticPr fontId="6" type="noConversion"/>
  </si>
  <si>
    <t>最低日</t>
    <phoneticPr fontId="6" type="noConversion"/>
  </si>
  <si>
    <t>歷史最高</t>
  </si>
  <si>
    <t>最高日</t>
  </si>
  <si>
    <t>歷史最低</t>
  </si>
  <si>
    <t>最低日</t>
  </si>
  <si>
    <t>CMX_GC</t>
  </si>
  <si>
    <t>黃金期貨</t>
    <phoneticPr fontId="1" type="noConversion"/>
  </si>
  <si>
    <t>Aus_Doller</t>
  </si>
  <si>
    <t>澳幣期貨</t>
    <phoneticPr fontId="1" type="noConversion"/>
  </si>
  <si>
    <t>BRIT_POUND</t>
  </si>
  <si>
    <t>英鎊期貨</t>
    <phoneticPr fontId="1" type="noConversion"/>
  </si>
  <si>
    <t>加幣期貨</t>
    <phoneticPr fontId="1" type="noConversion"/>
  </si>
  <si>
    <t>CD_Dollar</t>
  </si>
  <si>
    <t>EURO_FX</t>
  </si>
  <si>
    <t xml:space="preserve"> 歐元期貨</t>
    <phoneticPr fontId="1" type="noConversion"/>
  </si>
  <si>
    <t>J_Yen</t>
  </si>
  <si>
    <t>日元期貨</t>
    <phoneticPr fontId="1" type="noConversion"/>
  </si>
  <si>
    <t>S_F</t>
  </si>
  <si>
    <t>瑞郎期貨</t>
    <phoneticPr fontId="1" type="noConversion"/>
  </si>
  <si>
    <t>NY_PYS_CR</t>
  </si>
  <si>
    <t>輕原油期貨</t>
    <phoneticPr fontId="1" type="noConversion"/>
  </si>
  <si>
    <t>NYB_DX_F</t>
  </si>
  <si>
    <t>美元指數期貨</t>
    <phoneticPr fontId="1" type="noConversion"/>
  </si>
  <si>
    <t>委買</t>
    <phoneticPr fontId="1" type="noConversion"/>
  </si>
  <si>
    <t>委賣</t>
    <phoneticPr fontId="1" type="noConversion"/>
  </si>
  <si>
    <t>N225.JP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</si>
</sst>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76" formatCode="0.0000_ ;[Red]\-0.0000\ "/>
    <numFmt numFmtId="177" formatCode="h:mm:ss;@"/>
    <numFmt numFmtId="178" formatCode="yyyymmdd"/>
    <numFmt numFmtId="179" formatCode="0.00_);[Red]\(0.00\)"/>
    <numFmt numFmtId="180" formatCode="0_);[Red]\(0\)"/>
    <numFmt numFmtId="182" formatCode="[$-F400]h:mm:ss\ AM/PM"/>
  </numFmts>
  <fonts count="11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b/>
      <sz val="12"/>
      <color indexed="9"/>
      <name val="新細明體"/>
      <family val="1"/>
      <charset val="136"/>
    </font>
    <font>
      <sz val="12"/>
      <color rgb="FF000000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4"/>
      <color theme="1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color theme="0"/>
      <name val="新細明體"/>
      <family val="1"/>
      <charset val="136"/>
      <scheme val="minor"/>
    </font>
    <font>
      <sz val="12"/>
      <color theme="1"/>
      <name val="新細明體"/>
      <family val="1"/>
      <charset val="136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1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indexed="64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auto="1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auto="1"/>
      </top>
      <bottom style="double">
        <color indexed="64"/>
      </bottom>
      <diagonal/>
    </border>
    <border>
      <left/>
      <right style="thin">
        <color indexed="64"/>
      </right>
      <top style="thin">
        <color auto="1"/>
      </top>
      <bottom style="double">
        <color indexed="64"/>
      </bottom>
      <diagonal/>
    </border>
    <border>
      <left style="thin">
        <color indexed="64"/>
      </left>
      <right/>
      <top style="thin">
        <color auto="1"/>
      </top>
      <bottom style="double">
        <color indexed="64"/>
      </bottom>
      <diagonal/>
    </border>
  </borders>
  <cellStyleXfs count="7">
    <xf numFmtId="0" fontId="0" fillId="0" borderId="0">
      <alignment vertical="center"/>
    </xf>
    <xf numFmtId="0" fontId="5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</cellStyleXfs>
  <cellXfs count="51">
    <xf numFmtId="0" fontId="0" fillId="0" borderId="0" xfId="0">
      <alignment vertical="center"/>
    </xf>
    <xf numFmtId="0" fontId="2" fillId="2" borderId="0" xfId="0" applyFont="1" applyFill="1" applyAlignment="1">
      <alignment horizontal="center" vertical="center"/>
    </xf>
    <xf numFmtId="176" fontId="2" fillId="2" borderId="0" xfId="0" applyNumberFormat="1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4" fontId="5" fillId="0" borderId="1" xfId="1" applyNumberFormat="1" applyBorder="1" applyAlignment="1">
      <alignment horizontal="center"/>
    </xf>
    <xf numFmtId="177" fontId="5" fillId="0" borderId="1" xfId="1" applyNumberFormat="1" applyBorder="1" applyAlignment="1">
      <alignment horizontal="center"/>
    </xf>
    <xf numFmtId="0" fontId="5" fillId="0" borderId="1" xfId="1" applyBorder="1" applyAlignment="1">
      <alignment horizontal="center"/>
    </xf>
    <xf numFmtId="0" fontId="5" fillId="0" borderId="2" xfId="1" applyBorder="1" applyAlignment="1">
      <alignment horizontal="center"/>
    </xf>
    <xf numFmtId="0" fontId="7" fillId="0" borderId="3" xfId="1" applyFont="1" applyBorder="1" applyAlignment="1"/>
    <xf numFmtId="0" fontId="5" fillId="0" borderId="0" xfId="1" applyBorder="1" applyAlignment="1">
      <alignment horizontal="center"/>
    </xf>
    <xf numFmtId="0" fontId="10" fillId="0" borderId="0" xfId="1" applyFont="1" applyBorder="1" applyAlignment="1">
      <alignment horizontal="center"/>
    </xf>
    <xf numFmtId="14" fontId="5" fillId="0" borderId="0" xfId="1" applyNumberFormat="1" applyBorder="1" applyAlignment="1">
      <alignment horizontal="center"/>
    </xf>
    <xf numFmtId="2" fontId="5" fillId="0" borderId="0" xfId="1" applyNumberFormat="1" applyBorder="1" applyAlignment="1">
      <alignment horizontal="center"/>
    </xf>
    <xf numFmtId="0" fontId="5" fillId="0" borderId="4" xfId="1" applyBorder="1" applyAlignment="1">
      <alignment horizontal="center"/>
    </xf>
    <xf numFmtId="14" fontId="5" fillId="0" borderId="5" xfId="1" applyNumberFormat="1" applyBorder="1" applyAlignment="1">
      <alignment horizontal="center"/>
    </xf>
    <xf numFmtId="14" fontId="5" fillId="0" borderId="4" xfId="1" applyNumberFormat="1" applyBorder="1" applyAlignment="1">
      <alignment horizontal="center"/>
    </xf>
    <xf numFmtId="14" fontId="5" fillId="0" borderId="0" xfId="1" applyNumberFormat="1" applyAlignment="1">
      <alignment horizontal="center"/>
    </xf>
    <xf numFmtId="0" fontId="5" fillId="0" borderId="0" xfId="1" applyAlignment="1">
      <alignment horizontal="center"/>
    </xf>
    <xf numFmtId="178" fontId="5" fillId="0" borderId="0" xfId="1" applyNumberFormat="1" applyBorder="1" applyAlignment="1">
      <alignment horizontal="center"/>
    </xf>
    <xf numFmtId="0" fontId="5" fillId="0" borderId="5" xfId="1" applyBorder="1" applyAlignment="1">
      <alignment horizontal="center"/>
    </xf>
    <xf numFmtId="14" fontId="0" fillId="0" borderId="0" xfId="0" applyNumberFormat="1" applyAlignment="1">
      <alignment horizontal="center" vertical="center"/>
    </xf>
    <xf numFmtId="0" fontId="8" fillId="3" borderId="6" xfId="1" applyFont="1" applyFill="1" applyBorder="1" applyAlignment="1">
      <alignment horizontal="center" vertical="center"/>
    </xf>
    <xf numFmtId="0" fontId="9" fillId="3" borderId="6" xfId="1" applyFont="1" applyFill="1" applyBorder="1" applyAlignment="1">
      <alignment horizontal="center" vertical="center"/>
    </xf>
    <xf numFmtId="0" fontId="8" fillId="3" borderId="7" xfId="1" applyFont="1" applyFill="1" applyBorder="1" applyAlignment="1">
      <alignment horizontal="center" vertical="center"/>
    </xf>
    <xf numFmtId="178" fontId="8" fillId="4" borderId="6" xfId="1" applyNumberFormat="1" applyFont="1" applyFill="1" applyBorder="1" applyAlignment="1">
      <alignment horizontal="center" vertical="center"/>
    </xf>
    <xf numFmtId="0" fontId="8" fillId="4" borderId="6" xfId="1" applyFont="1" applyFill="1" applyBorder="1" applyAlignment="1">
      <alignment horizontal="center" vertical="center"/>
    </xf>
    <xf numFmtId="178" fontId="8" fillId="5" borderId="8" xfId="1" applyNumberFormat="1" applyFont="1" applyFill="1" applyBorder="1" applyAlignment="1">
      <alignment horizontal="center" vertical="center"/>
    </xf>
    <xf numFmtId="0" fontId="8" fillId="5" borderId="6" xfId="1" applyFont="1" applyFill="1" applyBorder="1" applyAlignment="1">
      <alignment horizontal="center" vertical="center"/>
    </xf>
    <xf numFmtId="0" fontId="8" fillId="5" borderId="7" xfId="1" applyFont="1" applyFill="1" applyBorder="1" applyAlignment="1">
      <alignment horizontal="center" vertical="center"/>
    </xf>
    <xf numFmtId="0" fontId="8" fillId="4" borderId="7" xfId="1" applyFont="1" applyFill="1" applyBorder="1" applyAlignment="1">
      <alignment horizontal="center" vertical="center"/>
    </xf>
    <xf numFmtId="178" fontId="8" fillId="5" borderId="6" xfId="1" applyNumberFormat="1" applyFont="1" applyFill="1" applyBorder="1" applyAlignment="1">
      <alignment horizontal="center" vertical="center"/>
    </xf>
    <xf numFmtId="178" fontId="8" fillId="4" borderId="8" xfId="1" applyNumberFormat="1" applyFont="1" applyFill="1" applyBorder="1" applyAlignment="1">
      <alignment horizontal="center" vertical="center"/>
    </xf>
    <xf numFmtId="0" fontId="8" fillId="5" borderId="8" xfId="1" applyFont="1" applyFill="1" applyBorder="1" applyAlignment="1">
      <alignment horizontal="center" vertical="center"/>
    </xf>
    <xf numFmtId="0" fontId="5" fillId="0" borderId="6" xfId="1" applyBorder="1" applyAlignment="1">
      <alignment horizontal="center"/>
    </xf>
    <xf numFmtId="14" fontId="0" fillId="0" borderId="0" xfId="6" applyNumberFormat="1" applyFont="1">
      <alignment vertical="center"/>
    </xf>
    <xf numFmtId="179" fontId="0" fillId="0" borderId="0" xfId="0" applyNumberFormat="1">
      <alignment vertical="center"/>
    </xf>
    <xf numFmtId="180" fontId="0" fillId="0" borderId="0" xfId="0" applyNumberFormat="1">
      <alignment vertical="center"/>
    </xf>
    <xf numFmtId="2" fontId="0" fillId="0" borderId="0" xfId="0" applyNumberFormat="1">
      <alignment vertical="center"/>
    </xf>
    <xf numFmtId="22" fontId="0" fillId="0" borderId="0" xfId="0" applyNumberFormat="1">
      <alignment vertical="center"/>
    </xf>
    <xf numFmtId="2" fontId="5" fillId="0" borderId="4" xfId="1" applyNumberFormat="1" applyBorder="1" applyAlignment="1">
      <alignment horizontal="center"/>
    </xf>
    <xf numFmtId="14" fontId="0" fillId="0" borderId="0" xfId="0" applyNumberFormat="1">
      <alignment vertical="center"/>
    </xf>
    <xf numFmtId="179" fontId="0" fillId="0" borderId="0" xfId="0" applyNumberFormat="1" applyAlignment="1">
      <alignment horizontal="center" vertical="center"/>
    </xf>
    <xf numFmtId="179" fontId="2" fillId="2" borderId="0" xfId="0" applyNumberFormat="1" applyFont="1" applyFill="1" applyAlignment="1">
      <alignment horizontal="center" vertical="center"/>
    </xf>
    <xf numFmtId="180" fontId="0" fillId="0" borderId="0" xfId="0" applyNumberFormat="1" applyAlignment="1">
      <alignment horizontal="center" vertical="center"/>
    </xf>
    <xf numFmtId="180" fontId="2" fillId="2" borderId="0" xfId="0" applyNumberFormat="1" applyFont="1" applyFill="1" applyAlignment="1">
      <alignment horizontal="center" vertical="center"/>
    </xf>
    <xf numFmtId="0" fontId="7" fillId="0" borderId="1" xfId="1" applyFont="1" applyBorder="1" applyAlignment="1">
      <alignment horizontal="center"/>
    </xf>
    <xf numFmtId="14" fontId="5" fillId="0" borderId="1" xfId="1" applyNumberFormat="1" applyBorder="1" applyAlignment="1">
      <alignment horizontal="center"/>
    </xf>
    <xf numFmtId="0" fontId="5" fillId="0" borderId="1" xfId="1" applyBorder="1" applyAlignment="1">
      <alignment horizontal="center"/>
    </xf>
    <xf numFmtId="0" fontId="7" fillId="0" borderId="3" xfId="1" applyFont="1" applyBorder="1" applyAlignment="1">
      <alignment horizontal="center"/>
    </xf>
    <xf numFmtId="0" fontId="7" fillId="0" borderId="2" xfId="1" applyFont="1" applyBorder="1" applyAlignment="1">
      <alignment horizontal="center"/>
    </xf>
    <xf numFmtId="182" fontId="0" fillId="0" borderId="0" xfId="0" applyNumberFormat="1">
      <alignment vertical="center"/>
    </xf>
  </cellXfs>
  <cellStyles count="7">
    <cellStyle name="一般" xfId="0" builtinId="0"/>
    <cellStyle name="一般 2" xfId="1"/>
    <cellStyle name="一般 3" xfId="2"/>
    <cellStyle name="一般 4" xfId="3"/>
    <cellStyle name="一般 5" xfId="4"/>
    <cellStyle name="一般 6" xfId="5"/>
    <cellStyle name="百分比" xfId="6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11" Type="http://schemas.microsoft.com/office/2006/relationships/vbaProject" Target="vbaProject.bin"/><Relationship Id="rId5" Type="http://schemas.openxmlformats.org/officeDocument/2006/relationships/externalLink" Target="externalLinks/externalLink2.xml"/><Relationship Id="rId10" Type="http://schemas.openxmlformats.org/officeDocument/2006/relationships/calcChain" Target="calcChain.xml"/><Relationship Id="rId4" Type="http://schemas.openxmlformats.org/officeDocument/2006/relationships/externalLink" Target="externalLinks/externalLink1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更新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29312;&#21033;&#29872;&#29699;DDE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Documents%20and%20Settings\FUBON\&#26700;&#38754;\&#29312;&#21033;&#29872;&#29699;DDE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RTD&#20351;&#29992;&#31684;&#20363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DE"/>
    </sheetNames>
    <sheetDataSet>
      <sheetData sheetId="0">
        <row r="25">
          <cell r="G25">
            <v>1172.5</v>
          </cell>
          <cell r="H25">
            <v>8.1999999999999993</v>
          </cell>
          <cell r="J25">
            <v>1</v>
          </cell>
          <cell r="K25">
            <v>27869</v>
          </cell>
          <cell r="M25">
            <v>1169.5999999999999</v>
          </cell>
          <cell r="N25">
            <v>1172.9000000000001</v>
          </cell>
          <cell r="O25">
            <v>1166.3</v>
          </cell>
        </row>
        <row r="29">
          <cell r="G29">
            <v>0.77180000000000004</v>
          </cell>
          <cell r="H29">
            <v>0</v>
          </cell>
          <cell r="J29">
            <v>1</v>
          </cell>
          <cell r="K29">
            <v>21317</v>
          </cell>
          <cell r="M29">
            <v>0.77059999999999995</v>
          </cell>
          <cell r="N29">
            <v>0.77239999999999998</v>
          </cell>
          <cell r="O29">
            <v>0.7681</v>
          </cell>
        </row>
        <row r="30">
          <cell r="G30">
            <v>1.5088999999999999</v>
          </cell>
          <cell r="H30">
            <v>4.1000000000000003E-3</v>
          </cell>
          <cell r="J30">
            <v>3</v>
          </cell>
          <cell r="K30">
            <v>15445</v>
          </cell>
          <cell r="M30">
            <v>1.5042</v>
          </cell>
          <cell r="N30">
            <v>1.5089999999999999</v>
          </cell>
          <cell r="O30">
            <v>1.5033000000000001</v>
          </cell>
        </row>
        <row r="31">
          <cell r="G31">
            <v>0.79359999999999997</v>
          </cell>
          <cell r="H31">
            <v>8.0000000000000004E-4</v>
          </cell>
          <cell r="J31">
            <v>1</v>
          </cell>
          <cell r="K31">
            <v>6662</v>
          </cell>
          <cell r="M31">
            <v>0.79220000000000002</v>
          </cell>
          <cell r="N31">
            <v>0.79410000000000003</v>
          </cell>
          <cell r="O31">
            <v>0.79179999999999995</v>
          </cell>
        </row>
        <row r="32">
          <cell r="G32">
            <v>1.0885</v>
          </cell>
          <cell r="H32">
            <v>2.5999999999999999E-3</v>
          </cell>
          <cell r="J32">
            <v>1</v>
          </cell>
          <cell r="K32">
            <v>34935</v>
          </cell>
          <cell r="M32">
            <v>1.0835999999999999</v>
          </cell>
          <cell r="N32">
            <v>1.0889</v>
          </cell>
          <cell r="O32">
            <v>1.0824</v>
          </cell>
        </row>
        <row r="33">
          <cell r="G33">
            <v>8.2789999999999999E-3</v>
          </cell>
          <cell r="H33">
            <v>-6.9999999999999999E-6</v>
          </cell>
          <cell r="J33">
            <v>1</v>
          </cell>
          <cell r="K33">
            <v>27822</v>
          </cell>
          <cell r="M33">
            <v>8.2780000000000006E-3</v>
          </cell>
          <cell r="N33">
            <v>8.2909999999999998E-3</v>
          </cell>
          <cell r="O33">
            <v>8.2550000000000002E-3</v>
          </cell>
        </row>
        <row r="34">
          <cell r="G34">
            <v>1.0157</v>
          </cell>
          <cell r="H34">
            <v>1E-4</v>
          </cell>
          <cell r="J34">
            <v>2</v>
          </cell>
          <cell r="K34">
            <v>4113</v>
          </cell>
          <cell r="M34">
            <v>1.0130999999999999</v>
          </cell>
          <cell r="N34">
            <v>1.0168999999999999</v>
          </cell>
          <cell r="O34">
            <v>1.0130999999999999</v>
          </cell>
        </row>
        <row r="38">
          <cell r="G38">
            <v>49.67</v>
          </cell>
          <cell r="H38">
            <v>0.06</v>
          </cell>
          <cell r="J38">
            <v>1</v>
          </cell>
          <cell r="K38">
            <v>11918</v>
          </cell>
          <cell r="M38">
            <v>49.6</v>
          </cell>
          <cell r="N38">
            <v>49.76</v>
          </cell>
          <cell r="O38">
            <v>49.32</v>
          </cell>
        </row>
        <row r="71">
          <cell r="G71">
            <v>97.465000000000003</v>
          </cell>
          <cell r="H71">
            <v>-0.13900000000000001</v>
          </cell>
          <cell r="J71">
            <v>1</v>
          </cell>
          <cell r="K71">
            <v>6688</v>
          </cell>
          <cell r="M71">
            <v>97.77</v>
          </cell>
          <cell r="N71">
            <v>97.844999999999999</v>
          </cell>
          <cell r="O71">
            <v>97.444999999999993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DE"/>
    </sheetNames>
    <sheetDataSet>
      <sheetData sheetId="0">
        <row r="25">
          <cell r="B25" t="str">
            <v>黃金201504</v>
          </cell>
        </row>
        <row r="29">
          <cell r="B29" t="str">
            <v>澳幣201503</v>
          </cell>
        </row>
        <row r="30">
          <cell r="B30" t="str">
            <v>英鎊201503</v>
          </cell>
        </row>
        <row r="31">
          <cell r="B31" t="str">
            <v>加幣201503</v>
          </cell>
        </row>
        <row r="32">
          <cell r="B32" t="str">
            <v>歐元201503</v>
          </cell>
        </row>
        <row r="33">
          <cell r="B33" t="str">
            <v>日圓201503</v>
          </cell>
        </row>
        <row r="34">
          <cell r="B34" t="str">
            <v>瑞郎201503</v>
          </cell>
        </row>
        <row r="38">
          <cell r="B38" t="str">
            <v>輕原油201504</v>
          </cell>
        </row>
        <row r="71">
          <cell r="B71" t="str">
            <v>美元指數201503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TD"/>
      <sheetName val="市場資訊"/>
    </sheetNames>
    <sheetDataSet>
      <sheetData sheetId="0">
        <row r="3">
          <cell r="D3" t="str">
            <v>18:27:30</v>
          </cell>
        </row>
        <row r="6">
          <cell r="M6" t="str">
            <v>日經225指數</v>
          </cell>
        </row>
        <row r="9">
          <cell r="M9">
            <v>5</v>
          </cell>
        </row>
        <row r="11">
          <cell r="M11">
            <v>6</v>
          </cell>
        </row>
        <row r="12">
          <cell r="M12">
            <v>4</v>
          </cell>
        </row>
        <row r="13">
          <cell r="M13">
            <v>1</v>
          </cell>
        </row>
        <row r="14">
          <cell r="M14">
            <v>2</v>
          </cell>
        </row>
        <row r="15">
          <cell r="M15">
            <v>3</v>
          </cell>
        </row>
        <row r="20">
          <cell r="M20">
            <v>7</v>
          </cell>
        </row>
        <row r="21">
          <cell r="M21">
            <v>8</v>
          </cell>
        </row>
        <row r="24">
          <cell r="M24">
            <v>9</v>
          </cell>
        </row>
        <row r="25">
          <cell r="M25">
            <v>10</v>
          </cell>
        </row>
      </sheetData>
      <sheetData sheetId="1" refreshError="1"/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BE833"/>
  <sheetViews>
    <sheetView zoomScale="80" zoomScaleNormal="80" workbookViewId="0">
      <pane ySplit="2" topLeftCell="A3" activePane="bottomLeft" state="frozenSplit"/>
      <selection activeCell="AI92" sqref="AI92"/>
      <selection pane="bottomLeft" activeCell="B20" sqref="B20"/>
    </sheetView>
  </sheetViews>
  <sheetFormatPr defaultRowHeight="16.5" x14ac:dyDescent="0.25"/>
  <cols>
    <col min="1" max="1" width="13.75" style="9" bestFit="1" customWidth="1"/>
    <col min="2" max="2" width="34.625" style="10" customWidth="1"/>
    <col min="3" max="3" width="12.25" style="9" bestFit="1" customWidth="1"/>
    <col min="4" max="4" width="15" style="9" bestFit="1" customWidth="1"/>
    <col min="5" max="5" width="9.5" style="9" bestFit="1" customWidth="1"/>
    <col min="6" max="6" width="10" style="9" bestFit="1" customWidth="1"/>
    <col min="7" max="7" width="10" style="13" bestFit="1" customWidth="1"/>
    <col min="8" max="8" width="10" style="18" hidden="1" customWidth="1"/>
    <col min="9" max="9" width="8" style="9" hidden="1" customWidth="1"/>
    <col min="10" max="10" width="10.5" style="9" hidden="1" customWidth="1"/>
    <col min="11" max="11" width="8" style="9" hidden="1" customWidth="1"/>
    <col min="12" max="12" width="9.5" style="9" hidden="1" customWidth="1"/>
    <col min="13" max="13" width="10.5" style="19" customWidth="1"/>
    <col min="14" max="14" width="8" style="9" customWidth="1"/>
    <col min="15" max="15" width="12.25" style="9" customWidth="1"/>
    <col min="16" max="16" width="8" style="9" customWidth="1"/>
    <col min="17" max="17" width="12.25" style="13" customWidth="1"/>
    <col min="18" max="18" width="12.25" style="9" customWidth="1"/>
    <col min="19" max="19" width="8" style="9" customWidth="1"/>
    <col min="20" max="20" width="12.25" style="9" customWidth="1"/>
    <col min="21" max="21" width="8" style="9" customWidth="1"/>
    <col min="22" max="22" width="12.25" style="9" customWidth="1"/>
    <col min="23" max="23" width="12.25" style="19" customWidth="1"/>
    <col min="24" max="24" width="8.5" style="9" customWidth="1"/>
    <col min="25" max="25" width="12.25" style="9" customWidth="1"/>
    <col min="26" max="26" width="8.5" style="9" customWidth="1"/>
    <col min="27" max="27" width="12.25" style="13" customWidth="1"/>
    <col min="28" max="28" width="10" style="9" customWidth="1"/>
    <col min="29" max="29" width="8.5" style="9" customWidth="1"/>
    <col min="30" max="30" width="12.25" style="9" customWidth="1"/>
    <col min="31" max="31" width="8.5" style="9" customWidth="1"/>
    <col min="32" max="32" width="12.25" style="9" customWidth="1"/>
    <col min="33" max="33" width="10" style="19" customWidth="1"/>
    <col min="34" max="34" width="8.5" style="9" customWidth="1"/>
    <col min="35" max="35" width="12.25" style="9" bestFit="1" customWidth="1"/>
    <col min="36" max="36" width="8.5" style="9" customWidth="1"/>
    <col min="37" max="37" width="12.25" style="13" bestFit="1" customWidth="1"/>
    <col min="38" max="38" width="10" style="9" customWidth="1"/>
    <col min="39" max="39" width="8.5" style="9" customWidth="1"/>
    <col min="40" max="40" width="12.25" style="9" bestFit="1" customWidth="1"/>
    <col min="41" max="41" width="8.5" style="9" customWidth="1"/>
    <col min="42" max="42" width="12.25" style="13" bestFit="1" customWidth="1"/>
    <col min="43" max="43" width="10" style="9" customWidth="1"/>
    <col min="44" max="44" width="8.5" style="9" customWidth="1"/>
    <col min="45" max="45" width="12.25" style="9" bestFit="1" customWidth="1"/>
    <col min="46" max="46" width="8.5" style="9" customWidth="1"/>
    <col min="47" max="47" width="12.25" style="9" bestFit="1" customWidth="1"/>
    <col min="48" max="48" width="10" style="19" customWidth="1"/>
    <col min="49" max="49" width="9" style="9" bestFit="1" customWidth="1"/>
    <col min="50" max="50" width="12.25" style="9" bestFit="1" customWidth="1"/>
    <col min="51" max="51" width="11.125" style="9" bestFit="1" customWidth="1"/>
    <col min="52" max="52" width="12.25" style="13" bestFit="1" customWidth="1"/>
    <col min="53" max="53" width="10" style="9" customWidth="1"/>
    <col min="54" max="54" width="12.25" style="9" bestFit="1" customWidth="1"/>
    <col min="55" max="55" width="10" style="9" customWidth="1"/>
    <col min="56" max="56" width="12.25" style="13" bestFit="1" customWidth="1"/>
    <col min="57" max="57" width="12.25" style="17" bestFit="1" customWidth="1"/>
    <col min="58" max="16384" width="9" style="17"/>
  </cols>
  <sheetData>
    <row r="1" spans="1:57" s="6" customFormat="1" ht="19.5" x14ac:dyDescent="0.3">
      <c r="A1" s="46" t="s">
        <v>23</v>
      </c>
      <c r="B1" s="47"/>
      <c r="C1" s="4">
        <f ca="1">TODAY()</f>
        <v>42539</v>
      </c>
      <c r="D1" s="5"/>
      <c r="G1" s="7"/>
      <c r="H1" s="45" t="s">
        <v>24</v>
      </c>
      <c r="I1" s="45"/>
      <c r="J1" s="45"/>
      <c r="K1" s="45"/>
      <c r="L1" s="45"/>
      <c r="M1" s="48" t="s">
        <v>25</v>
      </c>
      <c r="N1" s="45"/>
      <c r="O1" s="45"/>
      <c r="P1" s="45"/>
      <c r="Q1" s="49"/>
      <c r="R1" s="45" t="s">
        <v>26</v>
      </c>
      <c r="S1" s="45"/>
      <c r="T1" s="45"/>
      <c r="U1" s="45"/>
      <c r="V1" s="45"/>
      <c r="W1" s="48" t="s">
        <v>27</v>
      </c>
      <c r="X1" s="45"/>
      <c r="Y1" s="45"/>
      <c r="Z1" s="45"/>
      <c r="AA1" s="49"/>
      <c r="AB1" s="45" t="s">
        <v>28</v>
      </c>
      <c r="AC1" s="45"/>
      <c r="AD1" s="45"/>
      <c r="AE1" s="45"/>
      <c r="AF1" s="45"/>
      <c r="AG1" s="48" t="s">
        <v>29</v>
      </c>
      <c r="AH1" s="45"/>
      <c r="AI1" s="45"/>
      <c r="AJ1" s="45"/>
      <c r="AK1" s="49"/>
      <c r="AL1" s="48" t="s">
        <v>30</v>
      </c>
      <c r="AM1" s="45"/>
      <c r="AN1" s="45"/>
      <c r="AO1" s="45"/>
      <c r="AP1" s="49"/>
      <c r="AQ1" s="45" t="s">
        <v>31</v>
      </c>
      <c r="AR1" s="45"/>
      <c r="AS1" s="45"/>
      <c r="AT1" s="45"/>
      <c r="AU1" s="45"/>
      <c r="AV1" s="48" t="s">
        <v>32</v>
      </c>
      <c r="AW1" s="45"/>
      <c r="AX1" s="45"/>
      <c r="AY1" s="45"/>
      <c r="AZ1" s="49"/>
      <c r="BA1" s="48"/>
      <c r="BB1" s="45"/>
      <c r="BC1" s="45"/>
      <c r="BD1" s="45"/>
      <c r="BE1" s="8" t="s">
        <v>33</v>
      </c>
    </row>
    <row r="2" spans="1:57" s="33" customFormat="1" ht="17.25" thickBot="1" x14ac:dyDescent="0.3">
      <c r="A2" s="21" t="s">
        <v>34</v>
      </c>
      <c r="B2" s="22" t="s">
        <v>35</v>
      </c>
      <c r="C2" s="21" t="s">
        <v>36</v>
      </c>
      <c r="D2" s="21" t="s">
        <v>37</v>
      </c>
      <c r="E2" s="21" t="s">
        <v>38</v>
      </c>
      <c r="F2" s="21" t="s">
        <v>39</v>
      </c>
      <c r="G2" s="23" t="s">
        <v>40</v>
      </c>
      <c r="H2" s="24" t="s">
        <v>41</v>
      </c>
      <c r="I2" s="25" t="s">
        <v>42</v>
      </c>
      <c r="J2" s="25" t="s">
        <v>43</v>
      </c>
      <c r="K2" s="25" t="s">
        <v>44</v>
      </c>
      <c r="L2" s="25" t="s">
        <v>45</v>
      </c>
      <c r="M2" s="26" t="s">
        <v>41</v>
      </c>
      <c r="N2" s="27" t="s">
        <v>42</v>
      </c>
      <c r="O2" s="27" t="s">
        <v>43</v>
      </c>
      <c r="P2" s="27" t="s">
        <v>44</v>
      </c>
      <c r="Q2" s="28" t="s">
        <v>45</v>
      </c>
      <c r="R2" s="24" t="s">
        <v>41</v>
      </c>
      <c r="S2" s="25" t="s">
        <v>42</v>
      </c>
      <c r="T2" s="25" t="s">
        <v>43</v>
      </c>
      <c r="U2" s="25" t="s">
        <v>44</v>
      </c>
      <c r="V2" s="25" t="s">
        <v>45</v>
      </c>
      <c r="W2" s="26" t="s">
        <v>41</v>
      </c>
      <c r="X2" s="27" t="s">
        <v>42</v>
      </c>
      <c r="Y2" s="27" t="s">
        <v>43</v>
      </c>
      <c r="Z2" s="27" t="s">
        <v>44</v>
      </c>
      <c r="AA2" s="28" t="s">
        <v>45</v>
      </c>
      <c r="AB2" s="24" t="s">
        <v>41</v>
      </c>
      <c r="AC2" s="25" t="s">
        <v>42</v>
      </c>
      <c r="AD2" s="25" t="s">
        <v>43</v>
      </c>
      <c r="AE2" s="25" t="s">
        <v>44</v>
      </c>
      <c r="AF2" s="25" t="s">
        <v>45</v>
      </c>
      <c r="AG2" s="26" t="s">
        <v>41</v>
      </c>
      <c r="AH2" s="27" t="s">
        <v>42</v>
      </c>
      <c r="AI2" s="27" t="s">
        <v>43</v>
      </c>
      <c r="AJ2" s="27" t="s">
        <v>44</v>
      </c>
      <c r="AK2" s="28" t="s">
        <v>45</v>
      </c>
      <c r="AL2" s="24" t="s">
        <v>41</v>
      </c>
      <c r="AM2" s="25" t="s">
        <v>42</v>
      </c>
      <c r="AN2" s="25" t="s">
        <v>43</v>
      </c>
      <c r="AO2" s="25" t="s">
        <v>44</v>
      </c>
      <c r="AP2" s="29" t="s">
        <v>45</v>
      </c>
      <c r="AQ2" s="30" t="s">
        <v>41</v>
      </c>
      <c r="AR2" s="27" t="s">
        <v>42</v>
      </c>
      <c r="AS2" s="27" t="s">
        <v>43</v>
      </c>
      <c r="AT2" s="27" t="s">
        <v>44</v>
      </c>
      <c r="AU2" s="27" t="s">
        <v>45</v>
      </c>
      <c r="AV2" s="31" t="s">
        <v>41</v>
      </c>
      <c r="AW2" s="25" t="s">
        <v>42</v>
      </c>
      <c r="AX2" s="25" t="s">
        <v>43</v>
      </c>
      <c r="AY2" s="25" t="s">
        <v>44</v>
      </c>
      <c r="AZ2" s="29" t="s">
        <v>45</v>
      </c>
      <c r="BA2" s="32" t="s">
        <v>46</v>
      </c>
      <c r="BB2" s="27" t="s">
        <v>47</v>
      </c>
      <c r="BC2" s="27" t="s">
        <v>48</v>
      </c>
      <c r="BD2" s="28" t="s">
        <v>49</v>
      </c>
      <c r="BE2" s="25"/>
    </row>
    <row r="3" spans="1:57" ht="17.25" thickTop="1" x14ac:dyDescent="0.25">
      <c r="A3" s="11" t="s">
        <v>50</v>
      </c>
      <c r="B3" s="10" t="s">
        <v>51</v>
      </c>
      <c r="C3" s="11">
        <f ca="1">C1</f>
        <v>42539</v>
      </c>
      <c r="E3" s="9">
        <f>[1]DDE!$G$25</f>
        <v>1172.5</v>
      </c>
      <c r="F3" s="12" t="e">
        <f>#REF!</f>
        <v>#REF!</v>
      </c>
      <c r="G3" s="39" t="e">
        <f>#REF!</f>
        <v>#REF!</v>
      </c>
      <c r="H3" s="11">
        <v>42068</v>
      </c>
      <c r="I3" s="9">
        <v>1205.4000244140625</v>
      </c>
      <c r="J3" s="11">
        <v>42068</v>
      </c>
      <c r="K3" s="9">
        <v>1163.699951171875</v>
      </c>
      <c r="L3" s="11">
        <v>42069</v>
      </c>
      <c r="M3" s="14">
        <v>42066</v>
      </c>
      <c r="N3" s="9">
        <v>1212</v>
      </c>
      <c r="O3" s="11">
        <v>42066</v>
      </c>
      <c r="P3" s="9">
        <v>1163.699951171875</v>
      </c>
      <c r="Q3" s="15">
        <v>42069</v>
      </c>
      <c r="R3" s="11">
        <v>42059</v>
      </c>
      <c r="S3" s="9">
        <v>1222.699951171875</v>
      </c>
      <c r="T3" s="11">
        <v>42065</v>
      </c>
      <c r="U3" s="9">
        <v>1163.699951171875</v>
      </c>
      <c r="V3" s="11">
        <v>42069</v>
      </c>
      <c r="W3" s="14">
        <v>42045</v>
      </c>
      <c r="X3" s="9">
        <v>1245</v>
      </c>
      <c r="Y3" s="11">
        <v>42045</v>
      </c>
      <c r="Z3" s="9">
        <v>1163.699951171875</v>
      </c>
      <c r="AA3" s="15">
        <v>42069</v>
      </c>
      <c r="AB3" s="11">
        <v>42016</v>
      </c>
      <c r="AC3" s="9">
        <v>1303.5</v>
      </c>
      <c r="AD3" s="11">
        <v>42025</v>
      </c>
      <c r="AE3" s="9">
        <v>1163.699951171875</v>
      </c>
      <c r="AF3" s="11">
        <v>42069</v>
      </c>
      <c r="AG3" s="14">
        <v>41983</v>
      </c>
      <c r="AH3" s="9">
        <v>1303.5</v>
      </c>
      <c r="AI3" s="11">
        <v>42025</v>
      </c>
      <c r="AJ3" s="9">
        <v>1163.699951171875</v>
      </c>
      <c r="AK3" s="15">
        <v>42069</v>
      </c>
      <c r="AL3" s="11">
        <v>41892</v>
      </c>
      <c r="AM3" s="9">
        <v>1303.5</v>
      </c>
      <c r="AN3" s="11">
        <v>42025</v>
      </c>
      <c r="AO3" s="9">
        <v>1133</v>
      </c>
      <c r="AP3" s="15">
        <v>41950</v>
      </c>
      <c r="AQ3" s="11">
        <v>41708</v>
      </c>
      <c r="AR3" s="9">
        <v>1390.5999755859375</v>
      </c>
      <c r="AS3" s="11">
        <v>41715</v>
      </c>
      <c r="AT3" s="9">
        <v>1133</v>
      </c>
      <c r="AU3" s="11">
        <v>41950</v>
      </c>
      <c r="AV3" s="14">
        <v>41344</v>
      </c>
      <c r="AW3" s="9">
        <v>1613.800048828125</v>
      </c>
      <c r="AX3" s="11">
        <v>41354</v>
      </c>
      <c r="AY3" s="9">
        <v>1133</v>
      </c>
      <c r="AZ3" s="15">
        <v>41950</v>
      </c>
      <c r="BA3" s="12">
        <v>1911.5999755859375</v>
      </c>
      <c r="BB3" s="11">
        <v>40792</v>
      </c>
      <c r="BC3" s="9">
        <v>252.5</v>
      </c>
      <c r="BD3" s="15">
        <v>36397</v>
      </c>
      <c r="BE3" s="16">
        <v>35172</v>
      </c>
    </row>
    <row r="4" spans="1:57" x14ac:dyDescent="0.25">
      <c r="A4" s="11" t="s">
        <v>52</v>
      </c>
      <c r="B4" s="10" t="s">
        <v>53</v>
      </c>
      <c r="C4" s="11">
        <f ca="1">C1</f>
        <v>42539</v>
      </c>
      <c r="E4" s="9" t="e">
        <f>#REF!</f>
        <v>#REF!</v>
      </c>
      <c r="F4" s="9" t="e">
        <f>#REF!</f>
        <v>#REF!</v>
      </c>
      <c r="G4" s="13" t="e">
        <f>#REF!</f>
        <v>#REF!</v>
      </c>
      <c r="H4" s="11">
        <v>42068</v>
      </c>
      <c r="I4" s="9">
        <v>7843</v>
      </c>
      <c r="J4" s="11">
        <v>42069</v>
      </c>
      <c r="K4" s="9">
        <v>7681</v>
      </c>
      <c r="L4" s="11">
        <v>42072</v>
      </c>
      <c r="M4" s="14">
        <v>42066</v>
      </c>
      <c r="N4" s="9">
        <v>7856</v>
      </c>
      <c r="O4" s="11">
        <v>42067</v>
      </c>
      <c r="P4" s="9">
        <v>7681</v>
      </c>
      <c r="Q4" s="15">
        <v>42072</v>
      </c>
      <c r="R4" s="11">
        <v>42059</v>
      </c>
      <c r="S4" s="9">
        <v>7905</v>
      </c>
      <c r="T4" s="11">
        <v>42061</v>
      </c>
      <c r="U4" s="9">
        <v>7681</v>
      </c>
      <c r="V4" s="11">
        <v>42072</v>
      </c>
      <c r="W4" s="14">
        <v>42045</v>
      </c>
      <c r="X4" s="9">
        <v>7905</v>
      </c>
      <c r="Y4" s="11">
        <v>42061</v>
      </c>
      <c r="Z4" s="9">
        <v>7630</v>
      </c>
      <c r="AA4" s="15">
        <v>42047</v>
      </c>
      <c r="AB4" s="11">
        <v>42016</v>
      </c>
      <c r="AC4" s="9">
        <v>8261</v>
      </c>
      <c r="AD4" s="11">
        <v>42019</v>
      </c>
      <c r="AE4" s="9">
        <v>7607</v>
      </c>
      <c r="AF4" s="11">
        <v>42038</v>
      </c>
      <c r="AG4" s="14">
        <v>41983</v>
      </c>
      <c r="AH4" s="9">
        <v>8375</v>
      </c>
      <c r="AI4" s="11">
        <v>41984</v>
      </c>
      <c r="AJ4" s="9">
        <v>7607</v>
      </c>
      <c r="AK4" s="15">
        <v>42038</v>
      </c>
      <c r="AL4" s="11">
        <v>41892</v>
      </c>
      <c r="AM4" s="9">
        <v>9217</v>
      </c>
      <c r="AN4" s="11">
        <v>41893</v>
      </c>
      <c r="AO4" s="9">
        <v>7607</v>
      </c>
      <c r="AP4" s="15">
        <v>42038</v>
      </c>
      <c r="AQ4" s="11">
        <v>41708</v>
      </c>
      <c r="AR4" s="9">
        <v>9454</v>
      </c>
      <c r="AS4" s="11">
        <v>41821</v>
      </c>
      <c r="AT4" s="9">
        <v>7607</v>
      </c>
      <c r="AU4" s="11">
        <v>42038</v>
      </c>
      <c r="AV4" s="14">
        <v>41344</v>
      </c>
      <c r="AW4" s="9">
        <v>10531</v>
      </c>
      <c r="AX4" s="11">
        <v>41375</v>
      </c>
      <c r="AY4" s="9">
        <v>7607</v>
      </c>
      <c r="AZ4" s="15">
        <v>42038</v>
      </c>
      <c r="BA4" s="9">
        <v>11005</v>
      </c>
      <c r="BB4" s="11">
        <v>40751</v>
      </c>
      <c r="BC4" s="9">
        <v>4774</v>
      </c>
      <c r="BD4" s="15">
        <v>36983</v>
      </c>
      <c r="BE4" s="16">
        <v>31790</v>
      </c>
    </row>
    <row r="5" spans="1:57" x14ac:dyDescent="0.25">
      <c r="A5" s="11" t="s">
        <v>54</v>
      </c>
      <c r="B5" s="10" t="s">
        <v>55</v>
      </c>
      <c r="C5" s="11">
        <f ca="1">C1</f>
        <v>42539</v>
      </c>
      <c r="E5" s="9" t="e">
        <f>#REF!</f>
        <v>#REF!</v>
      </c>
      <c r="F5" s="9" t="e">
        <f>#REF!</f>
        <v>#REF!</v>
      </c>
      <c r="G5" s="13" t="e">
        <f>#REF!</f>
        <v>#REF!</v>
      </c>
      <c r="H5" s="11">
        <v>42068</v>
      </c>
      <c r="I5" s="9">
        <v>15269</v>
      </c>
      <c r="J5" s="11">
        <v>42068</v>
      </c>
      <c r="K5" s="9">
        <v>15026</v>
      </c>
      <c r="L5" s="11">
        <v>42069</v>
      </c>
      <c r="M5" s="14">
        <v>42066</v>
      </c>
      <c r="N5" s="9">
        <v>15396</v>
      </c>
      <c r="O5" s="11">
        <v>42066</v>
      </c>
      <c r="P5" s="9">
        <v>15026</v>
      </c>
      <c r="Q5" s="15">
        <v>42069</v>
      </c>
      <c r="R5" s="11">
        <v>42059</v>
      </c>
      <c r="S5" s="9">
        <v>15552</v>
      </c>
      <c r="T5" s="11">
        <v>42061</v>
      </c>
      <c r="U5" s="9">
        <v>15026</v>
      </c>
      <c r="V5" s="11">
        <v>42069</v>
      </c>
      <c r="W5" s="14">
        <v>42045</v>
      </c>
      <c r="X5" s="9">
        <v>15552</v>
      </c>
      <c r="Y5" s="11">
        <v>42061</v>
      </c>
      <c r="Z5" s="9">
        <v>15026</v>
      </c>
      <c r="AA5" s="15">
        <v>42069</v>
      </c>
      <c r="AB5" s="11">
        <v>42016</v>
      </c>
      <c r="AC5" s="9">
        <v>15552</v>
      </c>
      <c r="AD5" s="11">
        <v>42061</v>
      </c>
      <c r="AE5" s="9">
        <v>14946</v>
      </c>
      <c r="AF5" s="11">
        <v>42027</v>
      </c>
      <c r="AG5" s="14">
        <v>41983</v>
      </c>
      <c r="AH5" s="9">
        <v>15776</v>
      </c>
      <c r="AI5" s="11">
        <v>41989</v>
      </c>
      <c r="AJ5" s="9">
        <v>14946</v>
      </c>
      <c r="AK5" s="15">
        <v>42027</v>
      </c>
      <c r="AL5" s="11">
        <v>41892</v>
      </c>
      <c r="AM5" s="9">
        <v>16515</v>
      </c>
      <c r="AN5" s="11">
        <v>41901</v>
      </c>
      <c r="AO5" s="9">
        <v>14946</v>
      </c>
      <c r="AP5" s="15">
        <v>42027</v>
      </c>
      <c r="AQ5" s="11">
        <v>41708</v>
      </c>
      <c r="AR5" s="9">
        <v>17184</v>
      </c>
      <c r="AS5" s="11">
        <v>41835</v>
      </c>
      <c r="AT5" s="9">
        <v>14946</v>
      </c>
      <c r="AU5" s="11">
        <v>42027</v>
      </c>
      <c r="AV5" s="14">
        <v>41344</v>
      </c>
      <c r="AW5" s="9">
        <v>17184</v>
      </c>
      <c r="AX5" s="11">
        <v>41835</v>
      </c>
      <c r="AY5" s="9">
        <v>14806</v>
      </c>
      <c r="AZ5" s="15">
        <v>41464</v>
      </c>
      <c r="BA5" s="9">
        <v>21138</v>
      </c>
      <c r="BB5" s="11">
        <v>39395</v>
      </c>
      <c r="BC5" s="9">
        <v>13492</v>
      </c>
      <c r="BD5" s="15">
        <v>39836</v>
      </c>
      <c r="BE5" s="16">
        <v>34289</v>
      </c>
    </row>
    <row r="6" spans="1:57" x14ac:dyDescent="0.25">
      <c r="A6" s="11" t="s">
        <v>57</v>
      </c>
      <c r="B6" s="10" t="s">
        <v>56</v>
      </c>
      <c r="C6" s="11">
        <f ca="1">主表!C1</f>
        <v>42539</v>
      </c>
      <c r="E6" s="9" t="e">
        <f>#REF!</f>
        <v>#REF!</v>
      </c>
      <c r="F6" s="9" t="e">
        <f>#REF!</f>
        <v>#REF!</v>
      </c>
      <c r="G6" s="13">
        <v>7918</v>
      </c>
      <c r="H6" s="11">
        <v>42068</v>
      </c>
      <c r="I6" s="9">
        <v>8059</v>
      </c>
      <c r="J6" s="11">
        <v>42068</v>
      </c>
      <c r="K6" s="9">
        <v>7918</v>
      </c>
      <c r="L6" s="11">
        <v>42069</v>
      </c>
      <c r="M6" s="14">
        <v>42066</v>
      </c>
      <c r="N6" s="9">
        <v>8059</v>
      </c>
      <c r="O6" s="11">
        <v>42068</v>
      </c>
      <c r="P6" s="9">
        <v>7918</v>
      </c>
      <c r="Q6" s="15">
        <v>42072</v>
      </c>
      <c r="R6" s="11">
        <v>42059</v>
      </c>
      <c r="S6" s="9">
        <v>8070</v>
      </c>
      <c r="T6" s="11">
        <v>42061</v>
      </c>
      <c r="U6" s="9">
        <v>7895</v>
      </c>
      <c r="V6" s="11">
        <v>42059</v>
      </c>
      <c r="W6" s="14">
        <v>42045</v>
      </c>
      <c r="X6" s="9">
        <v>8087</v>
      </c>
      <c r="Y6" s="11">
        <v>42052</v>
      </c>
      <c r="Z6" s="9">
        <v>7871</v>
      </c>
      <c r="AA6" s="15">
        <v>42046</v>
      </c>
      <c r="AB6" s="11">
        <v>42016</v>
      </c>
      <c r="AC6" s="9">
        <v>8460</v>
      </c>
      <c r="AD6" s="11">
        <v>42019</v>
      </c>
      <c r="AE6" s="9">
        <v>7808</v>
      </c>
      <c r="AF6" s="11">
        <v>42034</v>
      </c>
      <c r="AG6" s="14">
        <v>41983</v>
      </c>
      <c r="AH6" s="9">
        <v>8744</v>
      </c>
      <c r="AI6" s="11">
        <v>41983</v>
      </c>
      <c r="AJ6" s="9">
        <v>7808</v>
      </c>
      <c r="AK6" s="15">
        <v>42034</v>
      </c>
      <c r="AL6" s="11">
        <v>41892</v>
      </c>
      <c r="AM6" s="9">
        <v>9167</v>
      </c>
      <c r="AN6" s="11">
        <v>41901</v>
      </c>
      <c r="AO6" s="9">
        <v>7808</v>
      </c>
      <c r="AP6" s="15">
        <v>42034</v>
      </c>
      <c r="AQ6" s="11">
        <v>41708</v>
      </c>
      <c r="AR6" s="9">
        <v>9399</v>
      </c>
      <c r="AS6" s="11">
        <v>41823</v>
      </c>
      <c r="AT6" s="9">
        <v>7808</v>
      </c>
      <c r="AU6" s="11">
        <v>42034</v>
      </c>
      <c r="AV6" s="14">
        <v>41344</v>
      </c>
      <c r="AW6" s="9">
        <v>9977</v>
      </c>
      <c r="AX6" s="11">
        <v>41403</v>
      </c>
      <c r="AY6" s="9">
        <v>7808</v>
      </c>
      <c r="AZ6" s="15">
        <v>42034</v>
      </c>
      <c r="BA6" s="9">
        <v>11043</v>
      </c>
      <c r="BB6" s="11">
        <v>39393</v>
      </c>
      <c r="BC6" s="9">
        <v>6170</v>
      </c>
      <c r="BD6" s="15">
        <v>37273</v>
      </c>
      <c r="BE6" s="16">
        <v>31414</v>
      </c>
    </row>
    <row r="7" spans="1:57" x14ac:dyDescent="0.25">
      <c r="A7" s="10" t="s">
        <v>58</v>
      </c>
      <c r="B7" s="10" t="s">
        <v>59</v>
      </c>
      <c r="C7" s="11">
        <f ca="1">C1</f>
        <v>42539</v>
      </c>
      <c r="E7" s="9" t="e">
        <f>#REF!</f>
        <v>#REF!</v>
      </c>
      <c r="F7" s="9" t="e">
        <f>#REF!</f>
        <v>#REF!</v>
      </c>
      <c r="G7" s="13" t="e">
        <f>#REF!</f>
        <v>#REF!</v>
      </c>
      <c r="H7" s="11">
        <v>42068</v>
      </c>
      <c r="I7" s="9">
        <v>11116</v>
      </c>
      <c r="J7" s="11">
        <v>42068</v>
      </c>
      <c r="K7" s="9">
        <v>10824</v>
      </c>
      <c r="L7" s="11">
        <v>42072</v>
      </c>
      <c r="M7" s="14">
        <v>42066</v>
      </c>
      <c r="N7" s="9">
        <v>11219</v>
      </c>
      <c r="O7" s="11">
        <v>42066</v>
      </c>
      <c r="P7" s="9">
        <v>10824</v>
      </c>
      <c r="Q7" s="15">
        <v>42072</v>
      </c>
      <c r="R7" s="11">
        <v>42059</v>
      </c>
      <c r="S7" s="9">
        <v>11392</v>
      </c>
      <c r="T7" s="11">
        <v>42060</v>
      </c>
      <c r="U7" s="9">
        <v>10824</v>
      </c>
      <c r="V7" s="11">
        <v>42072</v>
      </c>
      <c r="W7" s="14">
        <v>42045</v>
      </c>
      <c r="X7" s="9">
        <v>11454</v>
      </c>
      <c r="Y7" s="11">
        <v>42054</v>
      </c>
      <c r="Z7" s="9">
        <v>10824</v>
      </c>
      <c r="AA7" s="15">
        <v>42072</v>
      </c>
      <c r="AB7" s="11">
        <v>42016</v>
      </c>
      <c r="AC7" s="9">
        <v>11878</v>
      </c>
      <c r="AD7" s="11">
        <v>42016</v>
      </c>
      <c r="AE7" s="9">
        <v>10824</v>
      </c>
      <c r="AF7" s="11">
        <v>42072</v>
      </c>
      <c r="AG7" s="14">
        <v>41983</v>
      </c>
      <c r="AH7" s="9">
        <v>12579</v>
      </c>
      <c r="AI7" s="11">
        <v>41989</v>
      </c>
      <c r="AJ7" s="9">
        <v>10824</v>
      </c>
      <c r="AK7" s="15">
        <v>42072</v>
      </c>
      <c r="AL7" s="11">
        <v>41892</v>
      </c>
      <c r="AM7" s="9">
        <v>13006</v>
      </c>
      <c r="AN7" s="11">
        <v>41898</v>
      </c>
      <c r="AO7" s="9">
        <v>10824</v>
      </c>
      <c r="AP7" s="15">
        <v>42072</v>
      </c>
      <c r="AQ7" s="11">
        <v>41708</v>
      </c>
      <c r="AR7" s="9">
        <v>13993</v>
      </c>
      <c r="AS7" s="11">
        <v>41767</v>
      </c>
      <c r="AT7" s="9">
        <v>10824</v>
      </c>
      <c r="AU7" s="11">
        <v>42072</v>
      </c>
      <c r="AV7" s="14">
        <v>41344</v>
      </c>
      <c r="AW7" s="9">
        <v>13993</v>
      </c>
      <c r="AX7" s="11">
        <v>41767</v>
      </c>
      <c r="AY7" s="9">
        <v>10824</v>
      </c>
      <c r="AZ7" s="15">
        <v>42072</v>
      </c>
      <c r="BA7" s="9">
        <v>15988</v>
      </c>
      <c r="BB7" s="11">
        <v>39644</v>
      </c>
      <c r="BC7" s="9">
        <v>8245</v>
      </c>
      <c r="BD7" s="15">
        <v>36825</v>
      </c>
      <c r="BE7" s="16">
        <v>36164</v>
      </c>
    </row>
    <row r="8" spans="1:57" x14ac:dyDescent="0.25">
      <c r="A8" s="11" t="s">
        <v>60</v>
      </c>
      <c r="B8" s="10" t="s">
        <v>61</v>
      </c>
      <c r="C8" s="11">
        <f ca="1">C1</f>
        <v>42539</v>
      </c>
      <c r="E8" s="9" t="e">
        <f>#REF!</f>
        <v>#REF!</v>
      </c>
      <c r="F8" s="9" t="e">
        <f>#REF!</f>
        <v>#REF!</v>
      </c>
      <c r="G8" s="13" t="e">
        <f>#REF!</f>
        <v>#REF!</v>
      </c>
      <c r="H8" s="11">
        <v>42068</v>
      </c>
      <c r="I8" s="9">
        <v>8360</v>
      </c>
      <c r="J8" s="11">
        <v>42068</v>
      </c>
      <c r="K8" s="9">
        <v>8245</v>
      </c>
      <c r="L8" s="11">
        <v>42069</v>
      </c>
      <c r="M8" s="14">
        <v>42066</v>
      </c>
      <c r="N8" s="9">
        <v>8378</v>
      </c>
      <c r="O8" s="11">
        <v>42066</v>
      </c>
      <c r="P8" s="9">
        <v>8245</v>
      </c>
      <c r="Q8" s="15">
        <v>42069</v>
      </c>
      <c r="R8" s="11">
        <v>42059</v>
      </c>
      <c r="S8" s="9">
        <v>8431</v>
      </c>
      <c r="T8" s="11">
        <v>42060</v>
      </c>
      <c r="U8" s="9">
        <v>8245</v>
      </c>
      <c r="V8" s="11">
        <v>42069</v>
      </c>
      <c r="W8" s="14">
        <v>42045</v>
      </c>
      <c r="X8" s="9">
        <v>8469</v>
      </c>
      <c r="Y8" s="11">
        <v>42051</v>
      </c>
      <c r="Z8" s="9">
        <v>8245</v>
      </c>
      <c r="AA8" s="15">
        <v>42069</v>
      </c>
      <c r="AB8" s="11">
        <v>42016</v>
      </c>
      <c r="AC8" s="9">
        <v>8637</v>
      </c>
      <c r="AD8" s="11">
        <v>42020</v>
      </c>
      <c r="AE8" s="9">
        <v>8245</v>
      </c>
      <c r="AF8" s="11">
        <v>42069</v>
      </c>
      <c r="AG8" s="14">
        <v>41983</v>
      </c>
      <c r="AH8" s="9">
        <v>8663</v>
      </c>
      <c r="AI8" s="11">
        <v>41989</v>
      </c>
      <c r="AJ8" s="9">
        <v>8245</v>
      </c>
      <c r="AK8" s="15">
        <v>42069</v>
      </c>
      <c r="AL8" s="11">
        <v>41892</v>
      </c>
      <c r="AM8" s="9">
        <v>9510</v>
      </c>
      <c r="AN8" s="11">
        <v>41927</v>
      </c>
      <c r="AO8" s="9">
        <v>8207</v>
      </c>
      <c r="AP8" s="15">
        <v>41981</v>
      </c>
      <c r="AQ8" s="11">
        <v>41708</v>
      </c>
      <c r="AR8" s="9">
        <v>9956</v>
      </c>
      <c r="AS8" s="11">
        <v>41815</v>
      </c>
      <c r="AT8" s="9">
        <v>8207</v>
      </c>
      <c r="AU8" s="11">
        <v>41981</v>
      </c>
      <c r="AV8" s="14">
        <v>41344</v>
      </c>
      <c r="AW8" s="9">
        <v>10809</v>
      </c>
      <c r="AX8" s="11">
        <v>41366</v>
      </c>
      <c r="AY8" s="9">
        <v>8207</v>
      </c>
      <c r="AZ8" s="15">
        <v>41981</v>
      </c>
      <c r="BA8" s="9">
        <v>13264</v>
      </c>
      <c r="BB8" s="11">
        <v>40847</v>
      </c>
      <c r="BC8" s="9">
        <v>6807</v>
      </c>
      <c r="BD8" s="15">
        <v>36018</v>
      </c>
      <c r="BE8" s="16">
        <v>34291</v>
      </c>
    </row>
    <row r="9" spans="1:57" x14ac:dyDescent="0.25">
      <c r="A9" s="11" t="s">
        <v>62</v>
      </c>
      <c r="B9" s="10" t="s">
        <v>63</v>
      </c>
      <c r="C9" s="11">
        <f ca="1">C1</f>
        <v>42539</v>
      </c>
      <c r="E9" s="9" t="e">
        <f>#REF!</f>
        <v>#REF!</v>
      </c>
      <c r="F9" s="9" t="e">
        <f>#REF!</f>
        <v>#REF!</v>
      </c>
      <c r="G9" s="13" t="e">
        <f>#REF!</f>
        <v>#REF!</v>
      </c>
      <c r="H9" s="11">
        <v>42068</v>
      </c>
      <c r="I9" s="9">
        <v>10385</v>
      </c>
      <c r="J9" s="11">
        <v>42068</v>
      </c>
      <c r="K9" s="9">
        <v>10131</v>
      </c>
      <c r="L9" s="11">
        <v>42072</v>
      </c>
      <c r="M9" s="14">
        <v>42066</v>
      </c>
      <c r="N9" s="9">
        <v>10466</v>
      </c>
      <c r="O9" s="11">
        <v>42066</v>
      </c>
      <c r="P9" s="9">
        <v>10130.999999999998</v>
      </c>
      <c r="Q9" s="15">
        <v>42123</v>
      </c>
      <c r="R9" s="11">
        <v>42059</v>
      </c>
      <c r="S9" s="9">
        <v>10589</v>
      </c>
      <c r="T9" s="11">
        <v>42062</v>
      </c>
      <c r="U9" s="9">
        <v>10130.999999999998</v>
      </c>
      <c r="V9" s="11">
        <v>42123</v>
      </c>
      <c r="W9" s="14">
        <v>42045</v>
      </c>
      <c r="X9" s="9">
        <v>10871</v>
      </c>
      <c r="Y9" s="11">
        <v>42045</v>
      </c>
      <c r="Z9" s="9">
        <v>10130.999999999998</v>
      </c>
      <c r="AA9" s="15">
        <v>42123</v>
      </c>
      <c r="AB9" s="11">
        <v>42016</v>
      </c>
      <c r="AC9" s="9">
        <v>12282</v>
      </c>
      <c r="AD9" s="11">
        <v>42019</v>
      </c>
      <c r="AE9" s="9">
        <v>9777</v>
      </c>
      <c r="AF9" s="11">
        <v>42018</v>
      </c>
      <c r="AG9" s="14">
        <v>41983</v>
      </c>
      <c r="AH9" s="9">
        <v>12282</v>
      </c>
      <c r="AI9" s="11">
        <v>42019</v>
      </c>
      <c r="AJ9" s="9">
        <v>9777</v>
      </c>
      <c r="AK9" s="15">
        <v>42018</v>
      </c>
      <c r="AL9" s="11">
        <v>41892</v>
      </c>
      <c r="AM9" s="9">
        <v>12282</v>
      </c>
      <c r="AN9" s="11">
        <v>42019</v>
      </c>
      <c r="AO9" s="9">
        <v>9777</v>
      </c>
      <c r="AP9" s="15">
        <v>42018</v>
      </c>
      <c r="AQ9" s="11">
        <v>41708</v>
      </c>
      <c r="AR9" s="9">
        <v>12282</v>
      </c>
      <c r="AS9" s="11">
        <v>42019</v>
      </c>
      <c r="AT9" s="9">
        <v>9777</v>
      </c>
      <c r="AU9" s="11">
        <v>42018</v>
      </c>
      <c r="AV9" s="14">
        <v>41344</v>
      </c>
      <c r="AW9" s="9">
        <v>12282</v>
      </c>
      <c r="AX9" s="11">
        <v>42019</v>
      </c>
      <c r="AY9" s="9">
        <v>9777</v>
      </c>
      <c r="AZ9" s="15">
        <v>42018</v>
      </c>
      <c r="BA9" s="9">
        <v>14167</v>
      </c>
      <c r="BB9" s="11">
        <v>40764</v>
      </c>
      <c r="BC9" s="9">
        <v>5488</v>
      </c>
      <c r="BD9" s="15">
        <v>36825</v>
      </c>
      <c r="BE9" s="16">
        <v>34278</v>
      </c>
    </row>
    <row r="10" spans="1:57" x14ac:dyDescent="0.25">
      <c r="A10" s="11" t="s">
        <v>64</v>
      </c>
      <c r="B10" s="10" t="s">
        <v>65</v>
      </c>
      <c r="C10" s="11">
        <f ca="1">C1</f>
        <v>42539</v>
      </c>
      <c r="E10" s="9" t="e">
        <f>#REF!</f>
        <v>#REF!</v>
      </c>
      <c r="F10" s="9" t="e">
        <f>#REF!</f>
        <v>#REF!</v>
      </c>
      <c r="G10" s="13" t="e">
        <f>#REF!</f>
        <v>#REF!</v>
      </c>
      <c r="H10" s="11">
        <v>42068</v>
      </c>
      <c r="I10" s="9">
        <v>52.400001525878906</v>
      </c>
      <c r="J10" s="11">
        <v>42068</v>
      </c>
      <c r="K10" s="9">
        <v>48.880001068115234</v>
      </c>
      <c r="L10" s="11">
        <v>42069</v>
      </c>
      <c r="M10" s="14">
        <v>42066</v>
      </c>
      <c r="N10" s="9">
        <v>52.400001525878906</v>
      </c>
      <c r="O10" s="11">
        <v>42068</v>
      </c>
      <c r="P10" s="9">
        <v>48.880001068115234</v>
      </c>
      <c r="Q10" s="15">
        <v>42069</v>
      </c>
      <c r="R10" s="11">
        <v>42059</v>
      </c>
      <c r="S10" s="9">
        <v>52.400001525878906</v>
      </c>
      <c r="T10" s="11">
        <v>42068</v>
      </c>
      <c r="U10" s="9">
        <v>47.799999237060547</v>
      </c>
      <c r="V10" s="11">
        <v>42061</v>
      </c>
      <c r="W10" s="14">
        <v>42045</v>
      </c>
      <c r="X10" s="9">
        <v>54.150001525878906</v>
      </c>
      <c r="Y10" s="11">
        <v>42052</v>
      </c>
      <c r="Z10" s="9">
        <v>47.799999237060547</v>
      </c>
      <c r="AA10" s="15">
        <v>42061</v>
      </c>
      <c r="AB10" s="11">
        <v>42016</v>
      </c>
      <c r="AC10" s="9">
        <v>54.240001678466797</v>
      </c>
      <c r="AD10" s="11">
        <v>42038</v>
      </c>
      <c r="AE10" s="9">
        <v>43.580001831054688</v>
      </c>
      <c r="AF10" s="11">
        <v>42033</v>
      </c>
      <c r="AG10" s="14">
        <v>41983</v>
      </c>
      <c r="AH10" s="9">
        <v>63.430000305175781</v>
      </c>
      <c r="AI10" s="11">
        <v>41983</v>
      </c>
      <c r="AJ10" s="9">
        <v>43.580001831054688</v>
      </c>
      <c r="AK10" s="15">
        <v>42033</v>
      </c>
      <c r="AL10" s="11">
        <v>41892</v>
      </c>
      <c r="AM10" s="9">
        <v>95.19000244140625</v>
      </c>
      <c r="AN10" s="11">
        <v>41898</v>
      </c>
      <c r="AO10" s="9">
        <v>43.580001831054688</v>
      </c>
      <c r="AP10" s="15">
        <v>42033</v>
      </c>
      <c r="AQ10" s="11">
        <v>41708</v>
      </c>
      <c r="AR10" s="9">
        <v>107.73000335693359</v>
      </c>
      <c r="AS10" s="11">
        <v>41810</v>
      </c>
      <c r="AT10" s="9">
        <v>43.580001831054688</v>
      </c>
      <c r="AU10" s="11">
        <v>42033</v>
      </c>
      <c r="AV10" s="14">
        <v>41344</v>
      </c>
      <c r="AW10" s="9">
        <v>112.23999786376953</v>
      </c>
      <c r="AX10" s="11">
        <v>41514</v>
      </c>
      <c r="AY10" s="12">
        <v>43.580001831054688</v>
      </c>
      <c r="AZ10" s="15">
        <v>42033</v>
      </c>
      <c r="BA10" s="12">
        <v>147.27000427246094</v>
      </c>
      <c r="BB10" s="11">
        <v>39640</v>
      </c>
      <c r="BC10" s="12">
        <v>10.300000190734863</v>
      </c>
      <c r="BD10" s="15">
        <v>36140</v>
      </c>
      <c r="BE10" s="16">
        <v>35174</v>
      </c>
    </row>
    <row r="11" spans="1:57" x14ac:dyDescent="0.25">
      <c r="A11" s="11" t="s">
        <v>66</v>
      </c>
      <c r="B11" s="10" t="s">
        <v>67</v>
      </c>
      <c r="C11" s="11">
        <f ca="1">C1</f>
        <v>42539</v>
      </c>
      <c r="E11" s="9" t="e">
        <f>#REF!</f>
        <v>#REF!</v>
      </c>
      <c r="F11" s="9" t="e">
        <f>#REF!</f>
        <v>#REF!</v>
      </c>
      <c r="G11" s="13" t="e">
        <f>#REF!</f>
        <v>#REF!</v>
      </c>
      <c r="H11" s="11">
        <v>42068</v>
      </c>
      <c r="I11" s="9">
        <v>97.845001220703125</v>
      </c>
      <c r="J11" s="11">
        <v>42072</v>
      </c>
      <c r="K11" s="9">
        <v>95.860000610351563</v>
      </c>
      <c r="L11" s="11">
        <v>42068</v>
      </c>
      <c r="M11" s="14">
        <v>42066</v>
      </c>
      <c r="N11" s="9">
        <v>97.845001220703125</v>
      </c>
      <c r="O11" s="11">
        <v>42072</v>
      </c>
      <c r="P11" s="9">
        <v>95.135002136230469</v>
      </c>
      <c r="Q11" s="15">
        <v>42066</v>
      </c>
      <c r="R11" s="11">
        <v>42059</v>
      </c>
      <c r="S11" s="9">
        <v>97.845001220703125</v>
      </c>
      <c r="T11" s="11">
        <v>42072</v>
      </c>
      <c r="U11" s="9">
        <v>94.074996948242188</v>
      </c>
      <c r="V11" s="11">
        <v>42061</v>
      </c>
      <c r="W11" s="14">
        <v>42045</v>
      </c>
      <c r="X11" s="9">
        <v>97.845001220703125</v>
      </c>
      <c r="Y11" s="11">
        <v>42072</v>
      </c>
      <c r="Z11" s="9">
        <v>93.834999084472656</v>
      </c>
      <c r="AA11" s="15">
        <v>42052</v>
      </c>
      <c r="AB11" s="11">
        <v>42016</v>
      </c>
      <c r="AC11" s="9">
        <v>97.845001220703125</v>
      </c>
      <c r="AD11" s="11">
        <v>42072</v>
      </c>
      <c r="AE11" s="9">
        <v>91.495002746582031</v>
      </c>
      <c r="AF11" s="11">
        <v>42019</v>
      </c>
      <c r="AG11" s="14">
        <v>41983</v>
      </c>
      <c r="AH11" s="9">
        <v>97.845001220703125</v>
      </c>
      <c r="AI11" s="11">
        <v>42072</v>
      </c>
      <c r="AJ11" s="9">
        <v>87.830001831054687</v>
      </c>
      <c r="AK11" s="15">
        <v>41989</v>
      </c>
      <c r="AL11" s="11">
        <v>41892</v>
      </c>
      <c r="AM11" s="9">
        <v>97.845001220703125</v>
      </c>
      <c r="AN11" s="11">
        <v>42072</v>
      </c>
      <c r="AO11" s="12">
        <v>84.004997253417969</v>
      </c>
      <c r="AP11" s="15">
        <v>41898</v>
      </c>
      <c r="AQ11" s="11">
        <v>41708</v>
      </c>
      <c r="AR11" s="9">
        <v>97.845001220703125</v>
      </c>
      <c r="AS11" s="11">
        <v>42072</v>
      </c>
      <c r="AT11" s="9">
        <v>78.930000305175781</v>
      </c>
      <c r="AU11" s="11">
        <v>41767</v>
      </c>
      <c r="AV11" s="14">
        <v>41344</v>
      </c>
      <c r="AW11" s="12">
        <v>97.845001220703125</v>
      </c>
      <c r="AX11" s="11">
        <v>42072</v>
      </c>
      <c r="AY11" s="12">
        <v>78.930000305175781</v>
      </c>
      <c r="AZ11" s="15">
        <v>41767</v>
      </c>
      <c r="BA11" s="12">
        <v>129.05000305175781</v>
      </c>
      <c r="BB11" s="11">
        <v>31371</v>
      </c>
      <c r="BC11" s="12">
        <v>70.805000305175781</v>
      </c>
      <c r="BD11" s="15">
        <v>39524</v>
      </c>
      <c r="BE11" s="16">
        <v>31371</v>
      </c>
    </row>
    <row r="12" spans="1:57" x14ac:dyDescent="0.25">
      <c r="A12" s="11"/>
    </row>
    <row r="13" spans="1:57" x14ac:dyDescent="0.25">
      <c r="A13" s="11" t="s">
        <v>70</v>
      </c>
      <c r="B13" s="10" t="str">
        <f>yeswinRTD!B13</f>
        <v>日經225指數</v>
      </c>
      <c r="C13" s="11">
        <f ca="1">TODAY()</f>
        <v>42539</v>
      </c>
      <c r="D13" s="9" t="str">
        <f>yeswinRTD!D13</f>
        <v>18:27:30</v>
      </c>
      <c r="E13" s="9">
        <v>16341</v>
      </c>
      <c r="F13" s="9">
        <v>16342</v>
      </c>
      <c r="G13" s="13">
        <v>15310</v>
      </c>
      <c r="H13" s="11">
        <v>42536</v>
      </c>
      <c r="I13" s="9">
        <v>15997.3</v>
      </c>
      <c r="J13" s="11">
        <v>42536</v>
      </c>
      <c r="K13" s="9">
        <v>15395.98</v>
      </c>
      <c r="L13" s="11">
        <v>42537</v>
      </c>
      <c r="M13" s="14">
        <v>42534</v>
      </c>
      <c r="N13" s="9">
        <v>16342</v>
      </c>
      <c r="O13" s="11">
        <v>42539</v>
      </c>
      <c r="P13" s="9">
        <v>15310</v>
      </c>
      <c r="Q13" s="15">
        <v>42539</v>
      </c>
      <c r="R13" s="11">
        <v>42527</v>
      </c>
      <c r="S13" s="9">
        <v>16830.919999999998</v>
      </c>
      <c r="T13" s="11">
        <v>42529</v>
      </c>
      <c r="U13" s="9">
        <v>15320</v>
      </c>
      <c r="V13" s="11">
        <v>42539</v>
      </c>
      <c r="W13" s="14">
        <v>42509</v>
      </c>
      <c r="X13" s="9">
        <v>17251.36</v>
      </c>
      <c r="Y13" s="11">
        <v>42521</v>
      </c>
      <c r="Z13" s="9">
        <v>15320</v>
      </c>
      <c r="AA13" s="15">
        <v>42539</v>
      </c>
      <c r="AB13" s="11">
        <v>42479</v>
      </c>
      <c r="AC13" s="9">
        <v>17613.560000000001</v>
      </c>
      <c r="AD13" s="11">
        <v>42485</v>
      </c>
      <c r="AE13" s="9">
        <v>15320</v>
      </c>
      <c r="AF13" s="11">
        <v>42539</v>
      </c>
      <c r="AG13" s="14">
        <v>42451</v>
      </c>
      <c r="AH13" s="9">
        <v>17613.560000000001</v>
      </c>
      <c r="AI13" s="11">
        <v>42485</v>
      </c>
      <c r="AJ13" s="9">
        <v>15320</v>
      </c>
      <c r="AK13" s="15">
        <v>42539</v>
      </c>
      <c r="AL13" s="11">
        <v>42359</v>
      </c>
      <c r="AM13" s="9">
        <v>19113.18</v>
      </c>
      <c r="AN13" s="11">
        <v>42368</v>
      </c>
      <c r="AO13" s="9">
        <v>14865.77</v>
      </c>
      <c r="AP13" s="15">
        <v>42412</v>
      </c>
      <c r="AQ13" s="11">
        <v>42174</v>
      </c>
      <c r="AR13" s="9">
        <v>20952.71</v>
      </c>
      <c r="AS13" s="11">
        <v>42179</v>
      </c>
      <c r="AT13" s="9">
        <v>14865.77</v>
      </c>
      <c r="AU13" s="11">
        <v>42412</v>
      </c>
      <c r="AV13" s="14">
        <v>41809</v>
      </c>
      <c r="AW13" s="9">
        <v>20952.71</v>
      </c>
      <c r="AX13" s="11">
        <v>42179</v>
      </c>
      <c r="AY13" s="9">
        <v>14529.03</v>
      </c>
      <c r="AZ13" s="15">
        <v>41929</v>
      </c>
      <c r="BA13" s="9">
        <v>20952.71</v>
      </c>
      <c r="BB13" s="11">
        <v>42179</v>
      </c>
      <c r="BC13" s="9">
        <v>8238.9599999999991</v>
      </c>
      <c r="BD13" s="15">
        <v>41064</v>
      </c>
      <c r="BE13" s="16">
        <v>40962</v>
      </c>
    </row>
    <row r="14" spans="1:57" x14ac:dyDescent="0.25">
      <c r="A14" s="11"/>
    </row>
    <row r="15" spans="1:57" x14ac:dyDescent="0.25">
      <c r="A15" s="11"/>
    </row>
    <row r="16" spans="1:57" x14ac:dyDescent="0.25">
      <c r="A16" s="11"/>
    </row>
    <row r="17" spans="1:1" x14ac:dyDescent="0.25">
      <c r="A17" s="11"/>
    </row>
    <row r="18" spans="1:1" x14ac:dyDescent="0.25">
      <c r="A18" s="11"/>
    </row>
    <row r="19" spans="1:1" x14ac:dyDescent="0.25">
      <c r="A19" s="11"/>
    </row>
    <row r="20" spans="1:1" x14ac:dyDescent="0.25">
      <c r="A20" s="11"/>
    </row>
    <row r="21" spans="1:1" x14ac:dyDescent="0.25">
      <c r="A21" s="11"/>
    </row>
    <row r="22" spans="1:1" x14ac:dyDescent="0.25">
      <c r="A22" s="11"/>
    </row>
    <row r="23" spans="1:1" x14ac:dyDescent="0.25">
      <c r="A23" s="11"/>
    </row>
    <row r="24" spans="1:1" x14ac:dyDescent="0.25">
      <c r="A24" s="11"/>
    </row>
    <row r="25" spans="1:1" x14ac:dyDescent="0.25">
      <c r="A25" s="11"/>
    </row>
    <row r="26" spans="1:1" x14ac:dyDescent="0.25">
      <c r="A26" s="11"/>
    </row>
    <row r="27" spans="1:1" x14ac:dyDescent="0.25">
      <c r="A27" s="11"/>
    </row>
    <row r="28" spans="1:1" x14ac:dyDescent="0.25">
      <c r="A28" s="11"/>
    </row>
    <row r="29" spans="1:1" x14ac:dyDescent="0.25">
      <c r="A29" s="11"/>
    </row>
    <row r="30" spans="1:1" x14ac:dyDescent="0.25">
      <c r="A30" s="11"/>
    </row>
    <row r="31" spans="1:1" x14ac:dyDescent="0.25">
      <c r="A31" s="11"/>
    </row>
    <row r="32" spans="1:1" x14ac:dyDescent="0.25">
      <c r="A32" s="11"/>
    </row>
    <row r="33" spans="1:1" x14ac:dyDescent="0.25">
      <c r="A33" s="11"/>
    </row>
    <row r="34" spans="1:1" x14ac:dyDescent="0.25">
      <c r="A34" s="11"/>
    </row>
    <row r="35" spans="1:1" x14ac:dyDescent="0.25">
      <c r="A35" s="11"/>
    </row>
    <row r="36" spans="1:1" x14ac:dyDescent="0.25">
      <c r="A36" s="11"/>
    </row>
    <row r="37" spans="1:1" x14ac:dyDescent="0.25">
      <c r="A37" s="11"/>
    </row>
    <row r="38" spans="1:1" x14ac:dyDescent="0.25">
      <c r="A38" s="11"/>
    </row>
    <row r="39" spans="1:1" x14ac:dyDescent="0.25">
      <c r="A39" s="11"/>
    </row>
    <row r="40" spans="1:1" x14ac:dyDescent="0.25">
      <c r="A40" s="11"/>
    </row>
    <row r="41" spans="1:1" x14ac:dyDescent="0.25">
      <c r="A41" s="11"/>
    </row>
    <row r="42" spans="1:1" x14ac:dyDescent="0.25">
      <c r="A42" s="11"/>
    </row>
    <row r="43" spans="1:1" x14ac:dyDescent="0.25">
      <c r="A43" s="11"/>
    </row>
    <row r="44" spans="1:1" x14ac:dyDescent="0.25">
      <c r="A44" s="11"/>
    </row>
    <row r="45" spans="1:1" x14ac:dyDescent="0.25">
      <c r="A45" s="11"/>
    </row>
    <row r="46" spans="1:1" x14ac:dyDescent="0.25">
      <c r="A46" s="11"/>
    </row>
    <row r="47" spans="1:1" x14ac:dyDescent="0.25">
      <c r="A47" s="11"/>
    </row>
    <row r="48" spans="1:1" x14ac:dyDescent="0.25">
      <c r="A48" s="11"/>
    </row>
    <row r="49" spans="1:1" x14ac:dyDescent="0.25">
      <c r="A49" s="11"/>
    </row>
    <row r="50" spans="1:1" x14ac:dyDescent="0.25">
      <c r="A50" s="11"/>
    </row>
    <row r="51" spans="1:1" x14ac:dyDescent="0.25">
      <c r="A51" s="11"/>
    </row>
    <row r="52" spans="1:1" x14ac:dyDescent="0.25">
      <c r="A52" s="11"/>
    </row>
    <row r="53" spans="1:1" x14ac:dyDescent="0.25">
      <c r="A53" s="11"/>
    </row>
    <row r="54" spans="1:1" x14ac:dyDescent="0.25">
      <c r="A54" s="11"/>
    </row>
    <row r="55" spans="1:1" x14ac:dyDescent="0.25">
      <c r="A55" s="11"/>
    </row>
    <row r="56" spans="1:1" x14ac:dyDescent="0.25">
      <c r="A56" s="11"/>
    </row>
    <row r="57" spans="1:1" x14ac:dyDescent="0.25">
      <c r="A57" s="11"/>
    </row>
    <row r="58" spans="1:1" x14ac:dyDescent="0.25">
      <c r="A58" s="11"/>
    </row>
    <row r="59" spans="1:1" x14ac:dyDescent="0.25">
      <c r="A59" s="11"/>
    </row>
    <row r="60" spans="1:1" x14ac:dyDescent="0.25">
      <c r="A60" s="11"/>
    </row>
    <row r="61" spans="1:1" x14ac:dyDescent="0.25">
      <c r="A61" s="11"/>
    </row>
    <row r="62" spans="1:1" x14ac:dyDescent="0.25">
      <c r="A62" s="11"/>
    </row>
    <row r="63" spans="1:1" x14ac:dyDescent="0.25">
      <c r="A63" s="11"/>
    </row>
    <row r="64" spans="1:1" x14ac:dyDescent="0.25">
      <c r="A64" s="11"/>
    </row>
    <row r="65" spans="1:1" x14ac:dyDescent="0.25">
      <c r="A65" s="11"/>
    </row>
    <row r="66" spans="1:1" x14ac:dyDescent="0.25">
      <c r="A66" s="11"/>
    </row>
    <row r="67" spans="1:1" x14ac:dyDescent="0.25">
      <c r="A67" s="11"/>
    </row>
    <row r="68" spans="1:1" x14ac:dyDescent="0.25">
      <c r="A68" s="11"/>
    </row>
    <row r="69" spans="1:1" x14ac:dyDescent="0.25">
      <c r="A69" s="11"/>
    </row>
    <row r="70" spans="1:1" x14ac:dyDescent="0.25">
      <c r="A70" s="11"/>
    </row>
    <row r="71" spans="1:1" x14ac:dyDescent="0.25">
      <c r="A71" s="11"/>
    </row>
    <row r="72" spans="1:1" x14ac:dyDescent="0.25">
      <c r="A72" s="11"/>
    </row>
    <row r="73" spans="1:1" x14ac:dyDescent="0.25">
      <c r="A73" s="11"/>
    </row>
    <row r="74" spans="1:1" x14ac:dyDescent="0.25">
      <c r="A74" s="11"/>
    </row>
    <row r="75" spans="1:1" x14ac:dyDescent="0.25">
      <c r="A75" s="11"/>
    </row>
    <row r="76" spans="1:1" x14ac:dyDescent="0.25">
      <c r="A76" s="11"/>
    </row>
    <row r="77" spans="1:1" x14ac:dyDescent="0.25">
      <c r="A77" s="11"/>
    </row>
    <row r="78" spans="1:1" x14ac:dyDescent="0.25">
      <c r="A78" s="11"/>
    </row>
    <row r="79" spans="1:1" x14ac:dyDescent="0.25">
      <c r="A79" s="11"/>
    </row>
    <row r="80" spans="1:1" x14ac:dyDescent="0.25">
      <c r="A80" s="11"/>
    </row>
    <row r="81" spans="1:1" x14ac:dyDescent="0.25">
      <c r="A81" s="11"/>
    </row>
    <row r="82" spans="1:1" x14ac:dyDescent="0.25">
      <c r="A82" s="11"/>
    </row>
    <row r="83" spans="1:1" x14ac:dyDescent="0.25">
      <c r="A83" s="11"/>
    </row>
    <row r="84" spans="1:1" x14ac:dyDescent="0.25">
      <c r="A84" s="11"/>
    </row>
    <row r="85" spans="1:1" x14ac:dyDescent="0.25">
      <c r="A85" s="11"/>
    </row>
    <row r="86" spans="1:1" x14ac:dyDescent="0.25">
      <c r="A86" s="11"/>
    </row>
    <row r="87" spans="1:1" x14ac:dyDescent="0.25">
      <c r="A87" s="11"/>
    </row>
    <row r="88" spans="1:1" x14ac:dyDescent="0.25">
      <c r="A88" s="11"/>
    </row>
    <row r="89" spans="1:1" x14ac:dyDescent="0.25">
      <c r="A89" s="11"/>
    </row>
    <row r="90" spans="1:1" x14ac:dyDescent="0.25">
      <c r="A90" s="11"/>
    </row>
    <row r="91" spans="1:1" x14ac:dyDescent="0.25">
      <c r="A91" s="11"/>
    </row>
    <row r="92" spans="1:1" x14ac:dyDescent="0.25">
      <c r="A92" s="11"/>
    </row>
    <row r="93" spans="1:1" x14ac:dyDescent="0.25">
      <c r="A93" s="11"/>
    </row>
    <row r="94" spans="1:1" x14ac:dyDescent="0.25">
      <c r="A94" s="11"/>
    </row>
    <row r="95" spans="1:1" x14ac:dyDescent="0.25">
      <c r="A95" s="11"/>
    </row>
    <row r="96" spans="1:1" x14ac:dyDescent="0.25">
      <c r="A96" s="11"/>
    </row>
    <row r="97" spans="1:1" x14ac:dyDescent="0.25">
      <c r="A97" s="11"/>
    </row>
    <row r="98" spans="1:1" x14ac:dyDescent="0.25">
      <c r="A98" s="11"/>
    </row>
    <row r="99" spans="1:1" x14ac:dyDescent="0.25">
      <c r="A99" s="11"/>
    </row>
    <row r="100" spans="1:1" x14ac:dyDescent="0.25">
      <c r="A100" s="11"/>
    </row>
    <row r="101" spans="1:1" x14ac:dyDescent="0.25">
      <c r="A101" s="11"/>
    </row>
    <row r="102" spans="1:1" x14ac:dyDescent="0.25">
      <c r="A102" s="11"/>
    </row>
    <row r="103" spans="1:1" x14ac:dyDescent="0.25">
      <c r="A103" s="11"/>
    </row>
    <row r="104" spans="1:1" x14ac:dyDescent="0.25">
      <c r="A104" s="11"/>
    </row>
    <row r="105" spans="1:1" x14ac:dyDescent="0.25">
      <c r="A105" s="11"/>
    </row>
    <row r="106" spans="1:1" x14ac:dyDescent="0.25">
      <c r="A106" s="11"/>
    </row>
    <row r="107" spans="1:1" x14ac:dyDescent="0.25">
      <c r="A107" s="11"/>
    </row>
    <row r="108" spans="1:1" x14ac:dyDescent="0.25">
      <c r="A108" s="11"/>
    </row>
    <row r="109" spans="1:1" x14ac:dyDescent="0.25">
      <c r="A109" s="11"/>
    </row>
    <row r="110" spans="1:1" x14ac:dyDescent="0.25">
      <c r="A110" s="11"/>
    </row>
    <row r="111" spans="1:1" x14ac:dyDescent="0.25">
      <c r="A111" s="11"/>
    </row>
    <row r="112" spans="1:1" x14ac:dyDescent="0.25">
      <c r="A112" s="11"/>
    </row>
    <row r="113" spans="1:1" x14ac:dyDescent="0.25">
      <c r="A113" s="11"/>
    </row>
    <row r="114" spans="1:1" x14ac:dyDescent="0.25">
      <c r="A114" s="11"/>
    </row>
    <row r="115" spans="1:1" x14ac:dyDescent="0.25">
      <c r="A115" s="11"/>
    </row>
    <row r="116" spans="1:1" x14ac:dyDescent="0.25">
      <c r="A116" s="11"/>
    </row>
    <row r="117" spans="1:1" x14ac:dyDescent="0.25">
      <c r="A117" s="11"/>
    </row>
    <row r="118" spans="1:1" x14ac:dyDescent="0.25">
      <c r="A118" s="11"/>
    </row>
    <row r="119" spans="1:1" x14ac:dyDescent="0.25">
      <c r="A119" s="11"/>
    </row>
    <row r="120" spans="1:1" x14ac:dyDescent="0.25">
      <c r="A120" s="11"/>
    </row>
    <row r="121" spans="1:1" x14ac:dyDescent="0.25">
      <c r="A121" s="11"/>
    </row>
    <row r="122" spans="1:1" x14ac:dyDescent="0.25">
      <c r="A122" s="11"/>
    </row>
    <row r="123" spans="1:1" x14ac:dyDescent="0.25">
      <c r="A123" s="11"/>
    </row>
    <row r="124" spans="1:1" x14ac:dyDescent="0.25">
      <c r="A124" s="11"/>
    </row>
    <row r="125" spans="1:1" x14ac:dyDescent="0.25">
      <c r="A125" s="11"/>
    </row>
    <row r="126" spans="1:1" x14ac:dyDescent="0.25">
      <c r="A126" s="11"/>
    </row>
    <row r="127" spans="1:1" x14ac:dyDescent="0.25">
      <c r="A127" s="11"/>
    </row>
    <row r="128" spans="1:1" x14ac:dyDescent="0.25">
      <c r="A128" s="11"/>
    </row>
    <row r="129" spans="1:1" x14ac:dyDescent="0.25">
      <c r="A129" s="11"/>
    </row>
    <row r="130" spans="1:1" x14ac:dyDescent="0.25">
      <c r="A130" s="11"/>
    </row>
    <row r="131" spans="1:1" x14ac:dyDescent="0.25">
      <c r="A131" s="11"/>
    </row>
    <row r="132" spans="1:1" x14ac:dyDescent="0.25">
      <c r="A132" s="11"/>
    </row>
    <row r="133" spans="1:1" x14ac:dyDescent="0.25">
      <c r="A133" s="11"/>
    </row>
    <row r="134" spans="1:1" x14ac:dyDescent="0.25">
      <c r="A134" s="11"/>
    </row>
    <row r="135" spans="1:1" x14ac:dyDescent="0.25">
      <c r="A135" s="11"/>
    </row>
    <row r="136" spans="1:1" x14ac:dyDescent="0.25">
      <c r="A136" s="11"/>
    </row>
    <row r="137" spans="1:1" x14ac:dyDescent="0.25">
      <c r="A137" s="11"/>
    </row>
    <row r="138" spans="1:1" x14ac:dyDescent="0.25">
      <c r="A138" s="11"/>
    </row>
    <row r="139" spans="1:1" x14ac:dyDescent="0.25">
      <c r="A139" s="11"/>
    </row>
    <row r="140" spans="1:1" x14ac:dyDescent="0.25">
      <c r="A140" s="11"/>
    </row>
    <row r="141" spans="1:1" x14ac:dyDescent="0.25">
      <c r="A141" s="11"/>
    </row>
    <row r="142" spans="1:1" x14ac:dyDescent="0.25">
      <c r="A142" s="11"/>
    </row>
    <row r="143" spans="1:1" x14ac:dyDescent="0.25">
      <c r="A143" s="11"/>
    </row>
    <row r="144" spans="1:1" x14ac:dyDescent="0.25">
      <c r="A144" s="11"/>
    </row>
    <row r="145" spans="1:1" x14ac:dyDescent="0.25">
      <c r="A145" s="11"/>
    </row>
    <row r="146" spans="1:1" x14ac:dyDescent="0.25">
      <c r="A146" s="11"/>
    </row>
    <row r="147" spans="1:1" x14ac:dyDescent="0.25">
      <c r="A147" s="11"/>
    </row>
    <row r="148" spans="1:1" x14ac:dyDescent="0.25">
      <c r="A148" s="11"/>
    </row>
    <row r="149" spans="1:1" x14ac:dyDescent="0.25">
      <c r="A149" s="11"/>
    </row>
    <row r="150" spans="1:1" x14ac:dyDescent="0.25">
      <c r="A150" s="11"/>
    </row>
    <row r="151" spans="1:1" x14ac:dyDescent="0.25">
      <c r="A151" s="11"/>
    </row>
    <row r="152" spans="1:1" x14ac:dyDescent="0.25">
      <c r="A152" s="11"/>
    </row>
    <row r="153" spans="1:1" x14ac:dyDescent="0.25">
      <c r="A153" s="11"/>
    </row>
    <row r="154" spans="1:1" x14ac:dyDescent="0.25">
      <c r="A154" s="11"/>
    </row>
    <row r="155" spans="1:1" x14ac:dyDescent="0.25">
      <c r="A155" s="11"/>
    </row>
    <row r="156" spans="1:1" x14ac:dyDescent="0.25">
      <c r="A156" s="11"/>
    </row>
    <row r="157" spans="1:1" x14ac:dyDescent="0.25">
      <c r="A157" s="11"/>
    </row>
    <row r="158" spans="1:1" x14ac:dyDescent="0.25">
      <c r="A158" s="11"/>
    </row>
    <row r="159" spans="1:1" x14ac:dyDescent="0.25">
      <c r="A159" s="11"/>
    </row>
    <row r="160" spans="1:1" x14ac:dyDescent="0.25">
      <c r="A160" s="11"/>
    </row>
    <row r="161" spans="1:1" x14ac:dyDescent="0.25">
      <c r="A161" s="11"/>
    </row>
    <row r="162" spans="1:1" x14ac:dyDescent="0.25">
      <c r="A162" s="11"/>
    </row>
    <row r="163" spans="1:1" x14ac:dyDescent="0.25">
      <c r="A163" s="11"/>
    </row>
    <row r="164" spans="1:1" x14ac:dyDescent="0.25">
      <c r="A164" s="11"/>
    </row>
    <row r="165" spans="1:1" x14ac:dyDescent="0.25">
      <c r="A165" s="11"/>
    </row>
    <row r="166" spans="1:1" x14ac:dyDescent="0.25">
      <c r="A166" s="11"/>
    </row>
    <row r="167" spans="1:1" x14ac:dyDescent="0.25">
      <c r="A167" s="11"/>
    </row>
    <row r="168" spans="1:1" x14ac:dyDescent="0.25">
      <c r="A168" s="11"/>
    </row>
    <row r="169" spans="1:1" x14ac:dyDescent="0.25">
      <c r="A169" s="11"/>
    </row>
    <row r="170" spans="1:1" x14ac:dyDescent="0.25">
      <c r="A170" s="11"/>
    </row>
    <row r="171" spans="1:1" x14ac:dyDescent="0.25">
      <c r="A171" s="11"/>
    </row>
    <row r="172" spans="1:1" x14ac:dyDescent="0.25">
      <c r="A172" s="11"/>
    </row>
    <row r="173" spans="1:1" x14ac:dyDescent="0.25">
      <c r="A173" s="11"/>
    </row>
    <row r="174" spans="1:1" x14ac:dyDescent="0.25">
      <c r="A174" s="11"/>
    </row>
    <row r="175" spans="1:1" x14ac:dyDescent="0.25">
      <c r="A175" s="11"/>
    </row>
    <row r="176" spans="1:1" x14ac:dyDescent="0.25">
      <c r="A176" s="11"/>
    </row>
    <row r="177" spans="1:1" x14ac:dyDescent="0.25">
      <c r="A177" s="11"/>
    </row>
    <row r="178" spans="1:1" x14ac:dyDescent="0.25">
      <c r="A178" s="11"/>
    </row>
    <row r="179" spans="1:1" x14ac:dyDescent="0.25">
      <c r="A179" s="11"/>
    </row>
    <row r="180" spans="1:1" x14ac:dyDescent="0.25">
      <c r="A180" s="11"/>
    </row>
    <row r="181" spans="1:1" x14ac:dyDescent="0.25">
      <c r="A181" s="11"/>
    </row>
    <row r="182" spans="1:1" x14ac:dyDescent="0.25">
      <c r="A182" s="11"/>
    </row>
    <row r="183" spans="1:1" x14ac:dyDescent="0.25">
      <c r="A183" s="11"/>
    </row>
    <row r="184" spans="1:1" x14ac:dyDescent="0.25">
      <c r="A184" s="11"/>
    </row>
    <row r="185" spans="1:1" x14ac:dyDescent="0.25">
      <c r="A185" s="11"/>
    </row>
    <row r="186" spans="1:1" x14ac:dyDescent="0.25">
      <c r="A186" s="11"/>
    </row>
    <row r="187" spans="1:1" x14ac:dyDescent="0.25">
      <c r="A187" s="11"/>
    </row>
    <row r="188" spans="1:1" x14ac:dyDescent="0.25">
      <c r="A188" s="11"/>
    </row>
    <row r="189" spans="1:1" x14ac:dyDescent="0.25">
      <c r="A189" s="11"/>
    </row>
    <row r="190" spans="1:1" x14ac:dyDescent="0.25">
      <c r="A190" s="11"/>
    </row>
    <row r="191" spans="1:1" x14ac:dyDescent="0.25">
      <c r="A191" s="11"/>
    </row>
    <row r="192" spans="1:1" x14ac:dyDescent="0.25">
      <c r="A192" s="11"/>
    </row>
    <row r="193" spans="1:1" x14ac:dyDescent="0.25">
      <c r="A193" s="11"/>
    </row>
    <row r="194" spans="1:1" x14ac:dyDescent="0.25">
      <c r="A194" s="11"/>
    </row>
    <row r="195" spans="1:1" x14ac:dyDescent="0.25">
      <c r="A195" s="11"/>
    </row>
    <row r="196" spans="1:1" x14ac:dyDescent="0.25">
      <c r="A196" s="11"/>
    </row>
    <row r="197" spans="1:1" x14ac:dyDescent="0.25">
      <c r="A197" s="11"/>
    </row>
    <row r="198" spans="1:1" x14ac:dyDescent="0.25">
      <c r="A198" s="11"/>
    </row>
    <row r="199" spans="1:1" x14ac:dyDescent="0.25">
      <c r="A199" s="11"/>
    </row>
    <row r="200" spans="1:1" x14ac:dyDescent="0.25">
      <c r="A200" s="11"/>
    </row>
    <row r="201" spans="1:1" x14ac:dyDescent="0.25">
      <c r="A201" s="11"/>
    </row>
    <row r="202" spans="1:1" x14ac:dyDescent="0.25">
      <c r="A202" s="11"/>
    </row>
    <row r="203" spans="1:1" x14ac:dyDescent="0.25">
      <c r="A203" s="11"/>
    </row>
    <row r="204" spans="1:1" x14ac:dyDescent="0.25">
      <c r="A204" s="11"/>
    </row>
    <row r="205" spans="1:1" x14ac:dyDescent="0.25">
      <c r="A205" s="11"/>
    </row>
    <row r="206" spans="1:1" x14ac:dyDescent="0.25">
      <c r="A206" s="11"/>
    </row>
    <row r="207" spans="1:1" x14ac:dyDescent="0.25">
      <c r="A207" s="11"/>
    </row>
    <row r="208" spans="1:1" x14ac:dyDescent="0.25">
      <c r="A208" s="11"/>
    </row>
    <row r="209" spans="1:1" x14ac:dyDescent="0.25">
      <c r="A209" s="11"/>
    </row>
    <row r="210" spans="1:1" x14ac:dyDescent="0.25">
      <c r="A210" s="11"/>
    </row>
    <row r="211" spans="1:1" x14ac:dyDescent="0.25">
      <c r="A211" s="11"/>
    </row>
    <row r="212" spans="1:1" x14ac:dyDescent="0.25">
      <c r="A212" s="11"/>
    </row>
    <row r="213" spans="1:1" x14ac:dyDescent="0.25">
      <c r="A213" s="11"/>
    </row>
    <row r="214" spans="1:1" x14ac:dyDescent="0.25">
      <c r="A214" s="11"/>
    </row>
    <row r="215" spans="1:1" x14ac:dyDescent="0.25">
      <c r="A215" s="11"/>
    </row>
    <row r="216" spans="1:1" x14ac:dyDescent="0.25">
      <c r="A216" s="11"/>
    </row>
    <row r="217" spans="1:1" x14ac:dyDescent="0.25">
      <c r="A217" s="11"/>
    </row>
    <row r="218" spans="1:1" x14ac:dyDescent="0.25">
      <c r="A218" s="11"/>
    </row>
    <row r="219" spans="1:1" x14ac:dyDescent="0.25">
      <c r="A219" s="11"/>
    </row>
    <row r="220" spans="1:1" x14ac:dyDescent="0.25">
      <c r="A220" s="11"/>
    </row>
    <row r="221" spans="1:1" x14ac:dyDescent="0.25">
      <c r="A221" s="11"/>
    </row>
    <row r="222" spans="1:1" x14ac:dyDescent="0.25">
      <c r="A222" s="11"/>
    </row>
    <row r="223" spans="1:1" x14ac:dyDescent="0.25">
      <c r="A223" s="11"/>
    </row>
    <row r="224" spans="1:1" x14ac:dyDescent="0.25">
      <c r="A224" s="11"/>
    </row>
    <row r="225" spans="1:1" x14ac:dyDescent="0.25">
      <c r="A225" s="11"/>
    </row>
    <row r="226" spans="1:1" x14ac:dyDescent="0.25">
      <c r="A226" s="11"/>
    </row>
    <row r="227" spans="1:1" x14ac:dyDescent="0.25">
      <c r="A227" s="11"/>
    </row>
    <row r="228" spans="1:1" x14ac:dyDescent="0.25">
      <c r="A228" s="11"/>
    </row>
    <row r="229" spans="1:1" x14ac:dyDescent="0.25">
      <c r="A229" s="11"/>
    </row>
    <row r="230" spans="1:1" x14ac:dyDescent="0.25">
      <c r="A230" s="11"/>
    </row>
    <row r="231" spans="1:1" x14ac:dyDescent="0.25">
      <c r="A231" s="11"/>
    </row>
    <row r="232" spans="1:1" x14ac:dyDescent="0.25">
      <c r="A232" s="11"/>
    </row>
    <row r="233" spans="1:1" x14ac:dyDescent="0.25">
      <c r="A233" s="11"/>
    </row>
    <row r="234" spans="1:1" x14ac:dyDescent="0.25">
      <c r="A234" s="11"/>
    </row>
    <row r="235" spans="1:1" x14ac:dyDescent="0.25">
      <c r="A235" s="11"/>
    </row>
    <row r="236" spans="1:1" x14ac:dyDescent="0.25">
      <c r="A236" s="11"/>
    </row>
    <row r="237" spans="1:1" x14ac:dyDescent="0.25">
      <c r="A237" s="11"/>
    </row>
    <row r="238" spans="1:1" x14ac:dyDescent="0.25">
      <c r="A238" s="11"/>
    </row>
    <row r="239" spans="1:1" x14ac:dyDescent="0.25">
      <c r="A239" s="11"/>
    </row>
    <row r="240" spans="1:1" x14ac:dyDescent="0.25">
      <c r="A240" s="11"/>
    </row>
    <row r="241" spans="1:1" x14ac:dyDescent="0.25">
      <c r="A241" s="11"/>
    </row>
    <row r="242" spans="1:1" x14ac:dyDescent="0.25">
      <c r="A242" s="11"/>
    </row>
    <row r="243" spans="1:1" x14ac:dyDescent="0.25">
      <c r="A243" s="11"/>
    </row>
    <row r="244" spans="1:1" x14ac:dyDescent="0.25">
      <c r="A244" s="11"/>
    </row>
    <row r="245" spans="1:1" x14ac:dyDescent="0.25">
      <c r="A245" s="11"/>
    </row>
    <row r="246" spans="1:1" x14ac:dyDescent="0.25">
      <c r="A246" s="11"/>
    </row>
    <row r="247" spans="1:1" x14ac:dyDescent="0.25">
      <c r="A247" s="11"/>
    </row>
    <row r="248" spans="1:1" x14ac:dyDescent="0.25">
      <c r="A248" s="11"/>
    </row>
    <row r="249" spans="1:1" x14ac:dyDescent="0.25">
      <c r="A249" s="11"/>
    </row>
    <row r="250" spans="1:1" x14ac:dyDescent="0.25">
      <c r="A250" s="11"/>
    </row>
    <row r="251" spans="1:1" x14ac:dyDescent="0.25">
      <c r="A251" s="11"/>
    </row>
    <row r="252" spans="1:1" x14ac:dyDescent="0.25">
      <c r="A252" s="11"/>
    </row>
    <row r="253" spans="1:1" x14ac:dyDescent="0.25">
      <c r="A253" s="11"/>
    </row>
    <row r="254" spans="1:1" x14ac:dyDescent="0.25">
      <c r="A254" s="11"/>
    </row>
    <row r="255" spans="1:1" x14ac:dyDescent="0.25">
      <c r="A255" s="11"/>
    </row>
    <row r="256" spans="1:1" x14ac:dyDescent="0.25">
      <c r="A256" s="11"/>
    </row>
    <row r="257" spans="1:1" x14ac:dyDescent="0.25">
      <c r="A257" s="11"/>
    </row>
    <row r="258" spans="1:1" x14ac:dyDescent="0.25">
      <c r="A258" s="11"/>
    </row>
    <row r="259" spans="1:1" x14ac:dyDescent="0.25">
      <c r="A259" s="11"/>
    </row>
    <row r="260" spans="1:1" x14ac:dyDescent="0.25">
      <c r="A260" s="11"/>
    </row>
    <row r="261" spans="1:1" x14ac:dyDescent="0.25">
      <c r="A261" s="11"/>
    </row>
    <row r="262" spans="1:1" x14ac:dyDescent="0.25">
      <c r="A262" s="11"/>
    </row>
    <row r="263" spans="1:1" x14ac:dyDescent="0.25">
      <c r="A263" s="11"/>
    </row>
    <row r="264" spans="1:1" x14ac:dyDescent="0.25">
      <c r="A264" s="11"/>
    </row>
    <row r="265" spans="1:1" x14ac:dyDescent="0.25">
      <c r="A265" s="11"/>
    </row>
    <row r="266" spans="1:1" x14ac:dyDescent="0.25">
      <c r="A266" s="11"/>
    </row>
    <row r="267" spans="1:1" x14ac:dyDescent="0.25">
      <c r="A267" s="11"/>
    </row>
    <row r="268" spans="1:1" x14ac:dyDescent="0.25">
      <c r="A268" s="11"/>
    </row>
    <row r="269" spans="1:1" x14ac:dyDescent="0.25">
      <c r="A269" s="11"/>
    </row>
    <row r="270" spans="1:1" x14ac:dyDescent="0.25">
      <c r="A270" s="11"/>
    </row>
    <row r="271" spans="1:1" x14ac:dyDescent="0.25">
      <c r="A271" s="11"/>
    </row>
    <row r="272" spans="1:1" x14ac:dyDescent="0.25">
      <c r="A272" s="11"/>
    </row>
    <row r="273" spans="1:1" x14ac:dyDescent="0.25">
      <c r="A273" s="11"/>
    </row>
    <row r="274" spans="1:1" x14ac:dyDescent="0.25">
      <c r="A274" s="11"/>
    </row>
    <row r="275" spans="1:1" x14ac:dyDescent="0.25">
      <c r="A275" s="11"/>
    </row>
    <row r="276" spans="1:1" x14ac:dyDescent="0.25">
      <c r="A276" s="11"/>
    </row>
    <row r="277" spans="1:1" x14ac:dyDescent="0.25">
      <c r="A277" s="11"/>
    </row>
    <row r="278" spans="1:1" x14ac:dyDescent="0.25">
      <c r="A278" s="11"/>
    </row>
    <row r="279" spans="1:1" x14ac:dyDescent="0.25">
      <c r="A279" s="11"/>
    </row>
    <row r="280" spans="1:1" x14ac:dyDescent="0.25">
      <c r="A280" s="11"/>
    </row>
    <row r="281" spans="1:1" x14ac:dyDescent="0.25">
      <c r="A281" s="11"/>
    </row>
    <row r="282" spans="1:1" x14ac:dyDescent="0.25">
      <c r="A282" s="11"/>
    </row>
    <row r="283" spans="1:1" x14ac:dyDescent="0.25">
      <c r="A283" s="11"/>
    </row>
    <row r="284" spans="1:1" x14ac:dyDescent="0.25">
      <c r="A284" s="11"/>
    </row>
    <row r="285" spans="1:1" x14ac:dyDescent="0.25">
      <c r="A285" s="11"/>
    </row>
    <row r="286" spans="1:1" x14ac:dyDescent="0.25">
      <c r="A286" s="11"/>
    </row>
    <row r="287" spans="1:1" x14ac:dyDescent="0.25">
      <c r="A287" s="11"/>
    </row>
    <row r="288" spans="1:1" x14ac:dyDescent="0.25">
      <c r="A288" s="11"/>
    </row>
    <row r="289" spans="1:1" x14ac:dyDescent="0.25">
      <c r="A289" s="11"/>
    </row>
    <row r="290" spans="1:1" x14ac:dyDescent="0.25">
      <c r="A290" s="11"/>
    </row>
    <row r="291" spans="1:1" x14ac:dyDescent="0.25">
      <c r="A291" s="11"/>
    </row>
    <row r="292" spans="1:1" x14ac:dyDescent="0.25">
      <c r="A292" s="11"/>
    </row>
    <row r="293" spans="1:1" x14ac:dyDescent="0.25">
      <c r="A293" s="11"/>
    </row>
    <row r="294" spans="1:1" x14ac:dyDescent="0.25">
      <c r="A294" s="11"/>
    </row>
    <row r="295" spans="1:1" x14ac:dyDescent="0.25">
      <c r="A295" s="11"/>
    </row>
    <row r="296" spans="1:1" x14ac:dyDescent="0.25">
      <c r="A296" s="11"/>
    </row>
    <row r="297" spans="1:1" x14ac:dyDescent="0.25">
      <c r="A297" s="11"/>
    </row>
    <row r="298" spans="1:1" x14ac:dyDescent="0.25">
      <c r="A298" s="11"/>
    </row>
    <row r="299" spans="1:1" x14ac:dyDescent="0.25">
      <c r="A299" s="11"/>
    </row>
    <row r="300" spans="1:1" x14ac:dyDescent="0.25">
      <c r="A300" s="11"/>
    </row>
    <row r="301" spans="1:1" x14ac:dyDescent="0.25">
      <c r="A301" s="11"/>
    </row>
    <row r="302" spans="1:1" x14ac:dyDescent="0.25">
      <c r="A302" s="11"/>
    </row>
    <row r="303" spans="1:1" x14ac:dyDescent="0.25">
      <c r="A303" s="11"/>
    </row>
    <row r="304" spans="1:1" x14ac:dyDescent="0.25">
      <c r="A304" s="11"/>
    </row>
    <row r="305" spans="1:1" x14ac:dyDescent="0.25">
      <c r="A305" s="11"/>
    </row>
    <row r="306" spans="1:1" x14ac:dyDescent="0.25">
      <c r="A306" s="11"/>
    </row>
    <row r="307" spans="1:1" x14ac:dyDescent="0.25">
      <c r="A307" s="11"/>
    </row>
    <row r="308" spans="1:1" x14ac:dyDescent="0.25">
      <c r="A308" s="11"/>
    </row>
    <row r="309" spans="1:1" x14ac:dyDescent="0.25">
      <c r="A309" s="11"/>
    </row>
    <row r="310" spans="1:1" x14ac:dyDescent="0.25">
      <c r="A310" s="11"/>
    </row>
    <row r="311" spans="1:1" x14ac:dyDescent="0.25">
      <c r="A311" s="11"/>
    </row>
    <row r="312" spans="1:1" x14ac:dyDescent="0.25">
      <c r="A312" s="11"/>
    </row>
    <row r="313" spans="1:1" x14ac:dyDescent="0.25">
      <c r="A313" s="11"/>
    </row>
    <row r="314" spans="1:1" x14ac:dyDescent="0.25">
      <c r="A314" s="11"/>
    </row>
    <row r="315" spans="1:1" x14ac:dyDescent="0.25">
      <c r="A315" s="11"/>
    </row>
    <row r="316" spans="1:1" x14ac:dyDescent="0.25">
      <c r="A316" s="11"/>
    </row>
    <row r="317" spans="1:1" x14ac:dyDescent="0.25">
      <c r="A317" s="11"/>
    </row>
    <row r="318" spans="1:1" x14ac:dyDescent="0.25">
      <c r="A318" s="11"/>
    </row>
    <row r="319" spans="1:1" x14ac:dyDescent="0.25">
      <c r="A319" s="11"/>
    </row>
    <row r="320" spans="1:1" x14ac:dyDescent="0.25">
      <c r="A320" s="11"/>
    </row>
    <row r="321" spans="1:1" x14ac:dyDescent="0.25">
      <c r="A321" s="11"/>
    </row>
    <row r="322" spans="1:1" x14ac:dyDescent="0.25">
      <c r="A322" s="11"/>
    </row>
    <row r="323" spans="1:1" x14ac:dyDescent="0.25">
      <c r="A323" s="11"/>
    </row>
    <row r="324" spans="1:1" x14ac:dyDescent="0.25">
      <c r="A324" s="11"/>
    </row>
    <row r="325" spans="1:1" x14ac:dyDescent="0.25">
      <c r="A325" s="11"/>
    </row>
    <row r="326" spans="1:1" x14ac:dyDescent="0.25">
      <c r="A326" s="11"/>
    </row>
    <row r="327" spans="1:1" x14ac:dyDescent="0.25">
      <c r="A327" s="11"/>
    </row>
    <row r="328" spans="1:1" x14ac:dyDescent="0.25">
      <c r="A328" s="11"/>
    </row>
    <row r="329" spans="1:1" x14ac:dyDescent="0.25">
      <c r="A329" s="11"/>
    </row>
    <row r="330" spans="1:1" x14ac:dyDescent="0.25">
      <c r="A330" s="11"/>
    </row>
    <row r="331" spans="1:1" x14ac:dyDescent="0.25">
      <c r="A331" s="11"/>
    </row>
    <row r="332" spans="1:1" x14ac:dyDescent="0.25">
      <c r="A332" s="11"/>
    </row>
    <row r="333" spans="1:1" x14ac:dyDescent="0.25">
      <c r="A333" s="11"/>
    </row>
    <row r="334" spans="1:1" x14ac:dyDescent="0.25">
      <c r="A334" s="11"/>
    </row>
    <row r="335" spans="1:1" x14ac:dyDescent="0.25">
      <c r="A335" s="11"/>
    </row>
    <row r="336" spans="1:1" x14ac:dyDescent="0.25">
      <c r="A336" s="11"/>
    </row>
    <row r="337" spans="1:1" x14ac:dyDescent="0.25">
      <c r="A337" s="11"/>
    </row>
    <row r="338" spans="1:1" x14ac:dyDescent="0.25">
      <c r="A338" s="11"/>
    </row>
    <row r="339" spans="1:1" x14ac:dyDescent="0.25">
      <c r="A339" s="11"/>
    </row>
    <row r="340" spans="1:1" x14ac:dyDescent="0.25">
      <c r="A340" s="11"/>
    </row>
    <row r="341" spans="1:1" x14ac:dyDescent="0.25">
      <c r="A341" s="11"/>
    </row>
    <row r="342" spans="1:1" x14ac:dyDescent="0.25">
      <c r="A342" s="11"/>
    </row>
    <row r="343" spans="1:1" x14ac:dyDescent="0.25">
      <c r="A343" s="11"/>
    </row>
    <row r="344" spans="1:1" x14ac:dyDescent="0.25">
      <c r="A344" s="11"/>
    </row>
    <row r="345" spans="1:1" x14ac:dyDescent="0.25">
      <c r="A345" s="11"/>
    </row>
    <row r="346" spans="1:1" x14ac:dyDescent="0.25">
      <c r="A346" s="11"/>
    </row>
    <row r="347" spans="1:1" x14ac:dyDescent="0.25">
      <c r="A347" s="11"/>
    </row>
    <row r="348" spans="1:1" x14ac:dyDescent="0.25">
      <c r="A348" s="11"/>
    </row>
    <row r="349" spans="1:1" x14ac:dyDescent="0.25">
      <c r="A349" s="11"/>
    </row>
    <row r="350" spans="1:1" x14ac:dyDescent="0.25">
      <c r="A350" s="11"/>
    </row>
    <row r="351" spans="1:1" x14ac:dyDescent="0.25">
      <c r="A351" s="11"/>
    </row>
    <row r="352" spans="1:1" x14ac:dyDescent="0.25">
      <c r="A352" s="11"/>
    </row>
    <row r="353" spans="1:1" x14ac:dyDescent="0.25">
      <c r="A353" s="11"/>
    </row>
    <row r="354" spans="1:1" x14ac:dyDescent="0.25">
      <c r="A354" s="11"/>
    </row>
    <row r="355" spans="1:1" x14ac:dyDescent="0.25">
      <c r="A355" s="11"/>
    </row>
    <row r="356" spans="1:1" x14ac:dyDescent="0.25">
      <c r="A356" s="11"/>
    </row>
    <row r="357" spans="1:1" x14ac:dyDescent="0.25">
      <c r="A357" s="11"/>
    </row>
    <row r="358" spans="1:1" x14ac:dyDescent="0.25">
      <c r="A358" s="11"/>
    </row>
    <row r="359" spans="1:1" x14ac:dyDescent="0.25">
      <c r="A359" s="11"/>
    </row>
    <row r="360" spans="1:1" x14ac:dyDescent="0.25">
      <c r="A360" s="11"/>
    </row>
    <row r="361" spans="1:1" x14ac:dyDescent="0.25">
      <c r="A361" s="11"/>
    </row>
    <row r="362" spans="1:1" x14ac:dyDescent="0.25">
      <c r="A362" s="11"/>
    </row>
    <row r="363" spans="1:1" x14ac:dyDescent="0.25">
      <c r="A363" s="11"/>
    </row>
    <row r="364" spans="1:1" x14ac:dyDescent="0.25">
      <c r="A364" s="11"/>
    </row>
    <row r="365" spans="1:1" x14ac:dyDescent="0.25">
      <c r="A365" s="11"/>
    </row>
    <row r="366" spans="1:1" x14ac:dyDescent="0.25">
      <c r="A366" s="11"/>
    </row>
    <row r="367" spans="1:1" x14ac:dyDescent="0.25">
      <c r="A367" s="11"/>
    </row>
    <row r="368" spans="1:1" x14ac:dyDescent="0.25">
      <c r="A368" s="11"/>
    </row>
    <row r="369" spans="1:1" x14ac:dyDescent="0.25">
      <c r="A369" s="11"/>
    </row>
    <row r="370" spans="1:1" x14ac:dyDescent="0.25">
      <c r="A370" s="11"/>
    </row>
    <row r="371" spans="1:1" x14ac:dyDescent="0.25">
      <c r="A371" s="11"/>
    </row>
    <row r="372" spans="1:1" x14ac:dyDescent="0.25">
      <c r="A372" s="11"/>
    </row>
    <row r="373" spans="1:1" x14ac:dyDescent="0.25">
      <c r="A373" s="11"/>
    </row>
    <row r="374" spans="1:1" x14ac:dyDescent="0.25">
      <c r="A374" s="11"/>
    </row>
    <row r="375" spans="1:1" x14ac:dyDescent="0.25">
      <c r="A375" s="11"/>
    </row>
    <row r="376" spans="1:1" x14ac:dyDescent="0.25">
      <c r="A376" s="11"/>
    </row>
    <row r="377" spans="1:1" x14ac:dyDescent="0.25">
      <c r="A377" s="11"/>
    </row>
    <row r="378" spans="1:1" x14ac:dyDescent="0.25">
      <c r="A378" s="11"/>
    </row>
    <row r="379" spans="1:1" x14ac:dyDescent="0.25">
      <c r="A379" s="11"/>
    </row>
    <row r="380" spans="1:1" x14ac:dyDescent="0.25">
      <c r="A380" s="11"/>
    </row>
    <row r="381" spans="1:1" x14ac:dyDescent="0.25">
      <c r="A381" s="11"/>
    </row>
    <row r="382" spans="1:1" x14ac:dyDescent="0.25">
      <c r="A382" s="11"/>
    </row>
    <row r="383" spans="1:1" x14ac:dyDescent="0.25">
      <c r="A383" s="11"/>
    </row>
    <row r="384" spans="1:1" x14ac:dyDescent="0.25">
      <c r="A384" s="11"/>
    </row>
    <row r="385" spans="1:1" x14ac:dyDescent="0.25">
      <c r="A385" s="11"/>
    </row>
    <row r="386" spans="1:1" x14ac:dyDescent="0.25">
      <c r="A386" s="11"/>
    </row>
    <row r="387" spans="1:1" x14ac:dyDescent="0.25">
      <c r="A387" s="11"/>
    </row>
    <row r="388" spans="1:1" x14ac:dyDescent="0.25">
      <c r="A388" s="11"/>
    </row>
    <row r="389" spans="1:1" x14ac:dyDescent="0.25">
      <c r="A389" s="11"/>
    </row>
    <row r="390" spans="1:1" x14ac:dyDescent="0.25">
      <c r="A390" s="11"/>
    </row>
    <row r="391" spans="1:1" x14ac:dyDescent="0.25">
      <c r="A391" s="11"/>
    </row>
    <row r="392" spans="1:1" x14ac:dyDescent="0.25">
      <c r="A392" s="11"/>
    </row>
    <row r="393" spans="1:1" x14ac:dyDescent="0.25">
      <c r="A393" s="11"/>
    </row>
    <row r="394" spans="1:1" x14ac:dyDescent="0.25">
      <c r="A394" s="11"/>
    </row>
    <row r="395" spans="1:1" x14ac:dyDescent="0.25">
      <c r="A395" s="11"/>
    </row>
    <row r="396" spans="1:1" x14ac:dyDescent="0.25">
      <c r="A396" s="11"/>
    </row>
    <row r="397" spans="1:1" x14ac:dyDescent="0.25">
      <c r="A397" s="11"/>
    </row>
    <row r="398" spans="1:1" x14ac:dyDescent="0.25">
      <c r="A398" s="11"/>
    </row>
    <row r="399" spans="1:1" x14ac:dyDescent="0.25">
      <c r="A399" s="11"/>
    </row>
    <row r="400" spans="1:1" x14ac:dyDescent="0.25">
      <c r="A400" s="11"/>
    </row>
    <row r="401" spans="1:1" x14ac:dyDescent="0.25">
      <c r="A401" s="11"/>
    </row>
    <row r="402" spans="1:1" x14ac:dyDescent="0.25">
      <c r="A402" s="11"/>
    </row>
    <row r="403" spans="1:1" x14ac:dyDescent="0.25">
      <c r="A403" s="11"/>
    </row>
    <row r="404" spans="1:1" x14ac:dyDescent="0.25">
      <c r="A404" s="11"/>
    </row>
    <row r="405" spans="1:1" x14ac:dyDescent="0.25">
      <c r="A405" s="11"/>
    </row>
    <row r="406" spans="1:1" x14ac:dyDescent="0.25">
      <c r="A406" s="11"/>
    </row>
    <row r="407" spans="1:1" x14ac:dyDescent="0.25">
      <c r="A407" s="11"/>
    </row>
    <row r="408" spans="1:1" x14ac:dyDescent="0.25">
      <c r="A408" s="11"/>
    </row>
    <row r="409" spans="1:1" x14ac:dyDescent="0.25">
      <c r="A409" s="11"/>
    </row>
    <row r="410" spans="1:1" x14ac:dyDescent="0.25">
      <c r="A410" s="11"/>
    </row>
    <row r="411" spans="1:1" x14ac:dyDescent="0.25">
      <c r="A411" s="11"/>
    </row>
    <row r="412" spans="1:1" x14ac:dyDescent="0.25">
      <c r="A412" s="11"/>
    </row>
    <row r="413" spans="1:1" x14ac:dyDescent="0.25">
      <c r="A413" s="11"/>
    </row>
    <row r="414" spans="1:1" x14ac:dyDescent="0.25">
      <c r="A414" s="11"/>
    </row>
    <row r="415" spans="1:1" x14ac:dyDescent="0.25">
      <c r="A415" s="11"/>
    </row>
    <row r="416" spans="1:1" x14ac:dyDescent="0.25">
      <c r="A416" s="11"/>
    </row>
    <row r="417" spans="1:1" x14ac:dyDescent="0.25">
      <c r="A417" s="11"/>
    </row>
    <row r="418" spans="1:1" x14ac:dyDescent="0.25">
      <c r="A418" s="11"/>
    </row>
    <row r="419" spans="1:1" x14ac:dyDescent="0.25">
      <c r="A419" s="11"/>
    </row>
    <row r="420" spans="1:1" x14ac:dyDescent="0.25">
      <c r="A420" s="11"/>
    </row>
    <row r="421" spans="1:1" x14ac:dyDescent="0.25">
      <c r="A421" s="11"/>
    </row>
    <row r="422" spans="1:1" x14ac:dyDescent="0.25">
      <c r="A422" s="11"/>
    </row>
    <row r="423" spans="1:1" x14ac:dyDescent="0.25">
      <c r="A423" s="11"/>
    </row>
    <row r="424" spans="1:1" x14ac:dyDescent="0.25">
      <c r="A424" s="11"/>
    </row>
    <row r="425" spans="1:1" x14ac:dyDescent="0.25">
      <c r="A425" s="11"/>
    </row>
    <row r="426" spans="1:1" x14ac:dyDescent="0.25">
      <c r="A426" s="11"/>
    </row>
    <row r="427" spans="1:1" x14ac:dyDescent="0.25">
      <c r="A427" s="11"/>
    </row>
    <row r="428" spans="1:1" x14ac:dyDescent="0.25">
      <c r="A428" s="11"/>
    </row>
    <row r="429" spans="1:1" x14ac:dyDescent="0.25">
      <c r="A429" s="11"/>
    </row>
    <row r="430" spans="1:1" x14ac:dyDescent="0.25">
      <c r="A430" s="11"/>
    </row>
    <row r="431" spans="1:1" x14ac:dyDescent="0.25">
      <c r="A431" s="11"/>
    </row>
    <row r="432" spans="1:1" x14ac:dyDescent="0.25">
      <c r="A432" s="11"/>
    </row>
    <row r="433" spans="1:1" x14ac:dyDescent="0.25">
      <c r="A433" s="11"/>
    </row>
    <row r="434" spans="1:1" x14ac:dyDescent="0.25">
      <c r="A434" s="11"/>
    </row>
    <row r="435" spans="1:1" x14ac:dyDescent="0.25">
      <c r="A435" s="11"/>
    </row>
    <row r="436" spans="1:1" x14ac:dyDescent="0.25">
      <c r="A436" s="11"/>
    </row>
    <row r="437" spans="1:1" x14ac:dyDescent="0.25">
      <c r="A437" s="11"/>
    </row>
    <row r="438" spans="1:1" x14ac:dyDescent="0.25">
      <c r="A438" s="11"/>
    </row>
    <row r="439" spans="1:1" x14ac:dyDescent="0.25">
      <c r="A439" s="11"/>
    </row>
    <row r="440" spans="1:1" x14ac:dyDescent="0.25">
      <c r="A440" s="11"/>
    </row>
    <row r="441" spans="1:1" x14ac:dyDescent="0.25">
      <c r="A441" s="11"/>
    </row>
    <row r="442" spans="1:1" x14ac:dyDescent="0.25">
      <c r="A442" s="11"/>
    </row>
    <row r="443" spans="1:1" x14ac:dyDescent="0.25">
      <c r="A443" s="11"/>
    </row>
    <row r="444" spans="1:1" x14ac:dyDescent="0.25">
      <c r="A444" s="11"/>
    </row>
    <row r="445" spans="1:1" x14ac:dyDescent="0.25">
      <c r="A445" s="11"/>
    </row>
    <row r="446" spans="1:1" x14ac:dyDescent="0.25">
      <c r="A446" s="11"/>
    </row>
    <row r="447" spans="1:1" x14ac:dyDescent="0.25">
      <c r="A447" s="11"/>
    </row>
    <row r="448" spans="1:1" x14ac:dyDescent="0.25">
      <c r="A448" s="11"/>
    </row>
    <row r="449" spans="1:1" x14ac:dyDescent="0.25">
      <c r="A449" s="11"/>
    </row>
    <row r="450" spans="1:1" x14ac:dyDescent="0.25">
      <c r="A450" s="11"/>
    </row>
    <row r="451" spans="1:1" x14ac:dyDescent="0.25">
      <c r="A451" s="11"/>
    </row>
    <row r="452" spans="1:1" x14ac:dyDescent="0.25">
      <c r="A452" s="11"/>
    </row>
    <row r="453" spans="1:1" x14ac:dyDescent="0.25">
      <c r="A453" s="11"/>
    </row>
    <row r="454" spans="1:1" x14ac:dyDescent="0.25">
      <c r="A454" s="11"/>
    </row>
    <row r="455" spans="1:1" x14ac:dyDescent="0.25">
      <c r="A455" s="11"/>
    </row>
    <row r="456" spans="1:1" x14ac:dyDescent="0.25">
      <c r="A456" s="11"/>
    </row>
    <row r="457" spans="1:1" x14ac:dyDescent="0.25">
      <c r="A457" s="11"/>
    </row>
    <row r="458" spans="1:1" x14ac:dyDescent="0.25">
      <c r="A458" s="11"/>
    </row>
    <row r="459" spans="1:1" x14ac:dyDescent="0.25">
      <c r="A459" s="11"/>
    </row>
    <row r="460" spans="1:1" x14ac:dyDescent="0.25">
      <c r="A460" s="11"/>
    </row>
    <row r="461" spans="1:1" x14ac:dyDescent="0.25">
      <c r="A461" s="11"/>
    </row>
    <row r="462" spans="1:1" x14ac:dyDescent="0.25">
      <c r="A462" s="11"/>
    </row>
    <row r="463" spans="1:1" x14ac:dyDescent="0.25">
      <c r="A463" s="11"/>
    </row>
    <row r="464" spans="1:1" x14ac:dyDescent="0.25">
      <c r="A464" s="11"/>
    </row>
    <row r="465" spans="1:1" x14ac:dyDescent="0.25">
      <c r="A465" s="11"/>
    </row>
    <row r="466" spans="1:1" x14ac:dyDescent="0.25">
      <c r="A466" s="11"/>
    </row>
    <row r="467" spans="1:1" x14ac:dyDescent="0.25">
      <c r="A467" s="11"/>
    </row>
    <row r="468" spans="1:1" x14ac:dyDescent="0.25">
      <c r="A468" s="11"/>
    </row>
    <row r="469" spans="1:1" x14ac:dyDescent="0.25">
      <c r="A469" s="11"/>
    </row>
    <row r="470" spans="1:1" x14ac:dyDescent="0.25">
      <c r="A470" s="11"/>
    </row>
    <row r="471" spans="1:1" x14ac:dyDescent="0.25">
      <c r="A471" s="11"/>
    </row>
    <row r="472" spans="1:1" x14ac:dyDescent="0.25">
      <c r="A472" s="11"/>
    </row>
    <row r="473" spans="1:1" x14ac:dyDescent="0.25">
      <c r="A473" s="11"/>
    </row>
    <row r="474" spans="1:1" x14ac:dyDescent="0.25">
      <c r="A474" s="11"/>
    </row>
    <row r="475" spans="1:1" x14ac:dyDescent="0.25">
      <c r="A475" s="11"/>
    </row>
    <row r="476" spans="1:1" x14ac:dyDescent="0.25">
      <c r="A476" s="11"/>
    </row>
    <row r="477" spans="1:1" x14ac:dyDescent="0.25">
      <c r="A477" s="11"/>
    </row>
    <row r="478" spans="1:1" x14ac:dyDescent="0.25">
      <c r="A478" s="11"/>
    </row>
    <row r="479" spans="1:1" x14ac:dyDescent="0.25">
      <c r="A479" s="11"/>
    </row>
    <row r="480" spans="1:1" x14ac:dyDescent="0.25">
      <c r="A480" s="11"/>
    </row>
    <row r="481" spans="1:1" x14ac:dyDescent="0.25">
      <c r="A481" s="11"/>
    </row>
    <row r="482" spans="1:1" x14ac:dyDescent="0.25">
      <c r="A482" s="11"/>
    </row>
    <row r="483" spans="1:1" x14ac:dyDescent="0.25">
      <c r="A483" s="11"/>
    </row>
    <row r="484" spans="1:1" x14ac:dyDescent="0.25">
      <c r="A484" s="11"/>
    </row>
    <row r="485" spans="1:1" x14ac:dyDescent="0.25">
      <c r="A485" s="11"/>
    </row>
    <row r="486" spans="1:1" x14ac:dyDescent="0.25">
      <c r="A486" s="11"/>
    </row>
    <row r="487" spans="1:1" x14ac:dyDescent="0.25">
      <c r="A487" s="11"/>
    </row>
    <row r="488" spans="1:1" x14ac:dyDescent="0.25">
      <c r="A488" s="11"/>
    </row>
    <row r="489" spans="1:1" x14ac:dyDescent="0.25">
      <c r="A489" s="11"/>
    </row>
    <row r="490" spans="1:1" x14ac:dyDescent="0.25">
      <c r="A490" s="11"/>
    </row>
    <row r="491" spans="1:1" x14ac:dyDescent="0.25">
      <c r="A491" s="11"/>
    </row>
    <row r="492" spans="1:1" x14ac:dyDescent="0.25">
      <c r="A492" s="11"/>
    </row>
    <row r="493" spans="1:1" x14ac:dyDescent="0.25">
      <c r="A493" s="11"/>
    </row>
    <row r="494" spans="1:1" x14ac:dyDescent="0.25">
      <c r="A494" s="11"/>
    </row>
    <row r="495" spans="1:1" x14ac:dyDescent="0.25">
      <c r="A495" s="11"/>
    </row>
    <row r="496" spans="1:1" x14ac:dyDescent="0.25">
      <c r="A496" s="11"/>
    </row>
    <row r="497" spans="1:1" x14ac:dyDescent="0.25">
      <c r="A497" s="11"/>
    </row>
    <row r="498" spans="1:1" x14ac:dyDescent="0.25">
      <c r="A498" s="11"/>
    </row>
    <row r="499" spans="1:1" x14ac:dyDescent="0.25">
      <c r="A499" s="11"/>
    </row>
    <row r="500" spans="1:1" x14ac:dyDescent="0.25">
      <c r="A500" s="11"/>
    </row>
    <row r="501" spans="1:1" x14ac:dyDescent="0.25">
      <c r="A501" s="11"/>
    </row>
    <row r="502" spans="1:1" x14ac:dyDescent="0.25">
      <c r="A502" s="11"/>
    </row>
    <row r="503" spans="1:1" x14ac:dyDescent="0.25">
      <c r="A503" s="11"/>
    </row>
    <row r="504" spans="1:1" x14ac:dyDescent="0.25">
      <c r="A504" s="11"/>
    </row>
    <row r="505" spans="1:1" x14ac:dyDescent="0.25">
      <c r="A505" s="11"/>
    </row>
    <row r="506" spans="1:1" x14ac:dyDescent="0.25">
      <c r="A506" s="11"/>
    </row>
    <row r="507" spans="1:1" x14ac:dyDescent="0.25">
      <c r="A507" s="11"/>
    </row>
    <row r="508" spans="1:1" x14ac:dyDescent="0.25">
      <c r="A508" s="11"/>
    </row>
    <row r="509" spans="1:1" x14ac:dyDescent="0.25">
      <c r="A509" s="11"/>
    </row>
    <row r="510" spans="1:1" x14ac:dyDescent="0.25">
      <c r="A510" s="11"/>
    </row>
    <row r="511" spans="1:1" x14ac:dyDescent="0.25">
      <c r="A511" s="11"/>
    </row>
    <row r="512" spans="1:1" x14ac:dyDescent="0.25">
      <c r="A512" s="11"/>
    </row>
    <row r="513" spans="1:1" x14ac:dyDescent="0.25">
      <c r="A513" s="11"/>
    </row>
    <row r="514" spans="1:1" x14ac:dyDescent="0.25">
      <c r="A514" s="11"/>
    </row>
    <row r="515" spans="1:1" x14ac:dyDescent="0.25">
      <c r="A515" s="11"/>
    </row>
    <row r="516" spans="1:1" x14ac:dyDescent="0.25">
      <c r="A516" s="11"/>
    </row>
    <row r="517" spans="1:1" x14ac:dyDescent="0.25">
      <c r="A517" s="11"/>
    </row>
    <row r="518" spans="1:1" x14ac:dyDescent="0.25">
      <c r="A518" s="11"/>
    </row>
    <row r="519" spans="1:1" x14ac:dyDescent="0.25">
      <c r="A519" s="11"/>
    </row>
    <row r="520" spans="1:1" x14ac:dyDescent="0.25">
      <c r="A520" s="11"/>
    </row>
    <row r="521" spans="1:1" x14ac:dyDescent="0.25">
      <c r="A521" s="11"/>
    </row>
    <row r="522" spans="1:1" x14ac:dyDescent="0.25">
      <c r="A522" s="11"/>
    </row>
    <row r="523" spans="1:1" x14ac:dyDescent="0.25">
      <c r="A523" s="11"/>
    </row>
    <row r="524" spans="1:1" x14ac:dyDescent="0.25">
      <c r="A524" s="11"/>
    </row>
    <row r="525" spans="1:1" x14ac:dyDescent="0.25">
      <c r="A525" s="11"/>
    </row>
    <row r="526" spans="1:1" x14ac:dyDescent="0.25">
      <c r="A526" s="11"/>
    </row>
    <row r="527" spans="1:1" x14ac:dyDescent="0.25">
      <c r="A527" s="11"/>
    </row>
    <row r="528" spans="1:1" x14ac:dyDescent="0.25">
      <c r="A528" s="11"/>
    </row>
    <row r="529" spans="1:1" x14ac:dyDescent="0.25">
      <c r="A529" s="11"/>
    </row>
    <row r="530" spans="1:1" x14ac:dyDescent="0.25">
      <c r="A530" s="11"/>
    </row>
    <row r="531" spans="1:1" x14ac:dyDescent="0.25">
      <c r="A531" s="11"/>
    </row>
    <row r="532" spans="1:1" x14ac:dyDescent="0.25">
      <c r="A532" s="11"/>
    </row>
    <row r="533" spans="1:1" x14ac:dyDescent="0.25">
      <c r="A533" s="11"/>
    </row>
    <row r="534" spans="1:1" x14ac:dyDescent="0.25">
      <c r="A534" s="11"/>
    </row>
    <row r="535" spans="1:1" x14ac:dyDescent="0.25">
      <c r="A535" s="11"/>
    </row>
    <row r="536" spans="1:1" x14ac:dyDescent="0.25">
      <c r="A536" s="11"/>
    </row>
    <row r="537" spans="1:1" x14ac:dyDescent="0.25">
      <c r="A537" s="11"/>
    </row>
    <row r="538" spans="1:1" x14ac:dyDescent="0.25">
      <c r="A538" s="11"/>
    </row>
    <row r="539" spans="1:1" x14ac:dyDescent="0.25">
      <c r="A539" s="11"/>
    </row>
    <row r="540" spans="1:1" x14ac:dyDescent="0.25">
      <c r="A540" s="11"/>
    </row>
    <row r="541" spans="1:1" x14ac:dyDescent="0.25">
      <c r="A541" s="11"/>
    </row>
    <row r="542" spans="1:1" x14ac:dyDescent="0.25">
      <c r="A542" s="11"/>
    </row>
    <row r="543" spans="1:1" x14ac:dyDescent="0.25">
      <c r="A543" s="11"/>
    </row>
    <row r="544" spans="1:1" x14ac:dyDescent="0.25">
      <c r="A544" s="11"/>
    </row>
    <row r="545" spans="1:1" x14ac:dyDescent="0.25">
      <c r="A545" s="11"/>
    </row>
    <row r="546" spans="1:1" x14ac:dyDescent="0.25">
      <c r="A546" s="11"/>
    </row>
    <row r="547" spans="1:1" x14ac:dyDescent="0.25">
      <c r="A547" s="11"/>
    </row>
    <row r="548" spans="1:1" x14ac:dyDescent="0.25">
      <c r="A548" s="11"/>
    </row>
    <row r="549" spans="1:1" x14ac:dyDescent="0.25">
      <c r="A549" s="11"/>
    </row>
    <row r="550" spans="1:1" x14ac:dyDescent="0.25">
      <c r="A550" s="11"/>
    </row>
    <row r="551" spans="1:1" x14ac:dyDescent="0.25">
      <c r="A551" s="11"/>
    </row>
    <row r="552" spans="1:1" x14ac:dyDescent="0.25">
      <c r="A552" s="11"/>
    </row>
    <row r="553" spans="1:1" x14ac:dyDescent="0.25">
      <c r="A553" s="11"/>
    </row>
    <row r="554" spans="1:1" x14ac:dyDescent="0.25">
      <c r="A554" s="11"/>
    </row>
    <row r="555" spans="1:1" x14ac:dyDescent="0.25">
      <c r="A555" s="11"/>
    </row>
    <row r="556" spans="1:1" x14ac:dyDescent="0.25">
      <c r="A556" s="11"/>
    </row>
    <row r="557" spans="1:1" x14ac:dyDescent="0.25">
      <c r="A557" s="11"/>
    </row>
    <row r="558" spans="1:1" x14ac:dyDescent="0.25">
      <c r="A558" s="11"/>
    </row>
    <row r="559" spans="1:1" x14ac:dyDescent="0.25">
      <c r="A559" s="11"/>
    </row>
    <row r="560" spans="1:1" x14ac:dyDescent="0.25">
      <c r="A560" s="11"/>
    </row>
    <row r="561" spans="1:1" x14ac:dyDescent="0.25">
      <c r="A561" s="11"/>
    </row>
    <row r="562" spans="1:1" x14ac:dyDescent="0.25">
      <c r="A562" s="11"/>
    </row>
    <row r="563" spans="1:1" x14ac:dyDescent="0.25">
      <c r="A563" s="11"/>
    </row>
    <row r="564" spans="1:1" x14ac:dyDescent="0.25">
      <c r="A564" s="11"/>
    </row>
    <row r="565" spans="1:1" x14ac:dyDescent="0.25">
      <c r="A565" s="11"/>
    </row>
    <row r="566" spans="1:1" x14ac:dyDescent="0.25">
      <c r="A566" s="11"/>
    </row>
    <row r="567" spans="1:1" x14ac:dyDescent="0.25">
      <c r="A567" s="11"/>
    </row>
    <row r="568" spans="1:1" x14ac:dyDescent="0.25">
      <c r="A568" s="11"/>
    </row>
    <row r="569" spans="1:1" x14ac:dyDescent="0.25">
      <c r="A569" s="11"/>
    </row>
    <row r="570" spans="1:1" x14ac:dyDescent="0.25">
      <c r="A570" s="11"/>
    </row>
    <row r="571" spans="1:1" x14ac:dyDescent="0.25">
      <c r="A571" s="11"/>
    </row>
    <row r="572" spans="1:1" x14ac:dyDescent="0.25">
      <c r="A572" s="11"/>
    </row>
    <row r="573" spans="1:1" x14ac:dyDescent="0.25">
      <c r="A573" s="11"/>
    </row>
    <row r="574" spans="1:1" x14ac:dyDescent="0.25">
      <c r="A574" s="11"/>
    </row>
    <row r="575" spans="1:1" x14ac:dyDescent="0.25">
      <c r="A575" s="11"/>
    </row>
    <row r="576" spans="1:1" x14ac:dyDescent="0.25">
      <c r="A576" s="11"/>
    </row>
    <row r="577" spans="1:1" x14ac:dyDescent="0.25">
      <c r="A577" s="11"/>
    </row>
    <row r="578" spans="1:1" x14ac:dyDescent="0.25">
      <c r="A578" s="11"/>
    </row>
    <row r="579" spans="1:1" x14ac:dyDescent="0.25">
      <c r="A579" s="11"/>
    </row>
    <row r="580" spans="1:1" x14ac:dyDescent="0.25">
      <c r="A580" s="11"/>
    </row>
    <row r="581" spans="1:1" x14ac:dyDescent="0.25">
      <c r="A581" s="11"/>
    </row>
    <row r="582" spans="1:1" x14ac:dyDescent="0.25">
      <c r="A582" s="11"/>
    </row>
    <row r="583" spans="1:1" x14ac:dyDescent="0.25">
      <c r="A583" s="11"/>
    </row>
    <row r="584" spans="1:1" x14ac:dyDescent="0.25">
      <c r="A584" s="11"/>
    </row>
    <row r="585" spans="1:1" x14ac:dyDescent="0.25">
      <c r="A585" s="11"/>
    </row>
    <row r="586" spans="1:1" x14ac:dyDescent="0.25">
      <c r="A586" s="11"/>
    </row>
    <row r="587" spans="1:1" x14ac:dyDescent="0.25">
      <c r="A587" s="11"/>
    </row>
    <row r="588" spans="1:1" x14ac:dyDescent="0.25">
      <c r="A588" s="11"/>
    </row>
    <row r="589" spans="1:1" x14ac:dyDescent="0.25">
      <c r="A589" s="11"/>
    </row>
    <row r="590" spans="1:1" x14ac:dyDescent="0.25">
      <c r="A590" s="11"/>
    </row>
    <row r="591" spans="1:1" x14ac:dyDescent="0.25">
      <c r="A591" s="11"/>
    </row>
    <row r="592" spans="1:1" x14ac:dyDescent="0.25">
      <c r="A592" s="11"/>
    </row>
    <row r="593" spans="1:1" x14ac:dyDescent="0.25">
      <c r="A593" s="11"/>
    </row>
    <row r="594" spans="1:1" x14ac:dyDescent="0.25">
      <c r="A594" s="11"/>
    </row>
    <row r="595" spans="1:1" x14ac:dyDescent="0.25">
      <c r="A595" s="11"/>
    </row>
    <row r="596" spans="1:1" x14ac:dyDescent="0.25">
      <c r="A596" s="11"/>
    </row>
    <row r="597" spans="1:1" x14ac:dyDescent="0.25">
      <c r="A597" s="11"/>
    </row>
    <row r="598" spans="1:1" x14ac:dyDescent="0.25">
      <c r="A598" s="11"/>
    </row>
    <row r="599" spans="1:1" x14ac:dyDescent="0.25">
      <c r="A599" s="11"/>
    </row>
    <row r="600" spans="1:1" x14ac:dyDescent="0.25">
      <c r="A600" s="11"/>
    </row>
    <row r="601" spans="1:1" x14ac:dyDescent="0.25">
      <c r="A601" s="11"/>
    </row>
    <row r="602" spans="1:1" x14ac:dyDescent="0.25">
      <c r="A602" s="11"/>
    </row>
    <row r="603" spans="1:1" x14ac:dyDescent="0.25">
      <c r="A603" s="11"/>
    </row>
    <row r="604" spans="1:1" x14ac:dyDescent="0.25">
      <c r="A604" s="11"/>
    </row>
    <row r="605" spans="1:1" x14ac:dyDescent="0.25">
      <c r="A605" s="11"/>
    </row>
    <row r="606" spans="1:1" x14ac:dyDescent="0.25">
      <c r="A606" s="11"/>
    </row>
    <row r="607" spans="1:1" x14ac:dyDescent="0.25">
      <c r="A607" s="11"/>
    </row>
    <row r="608" spans="1:1" x14ac:dyDescent="0.25">
      <c r="A608" s="11"/>
    </row>
    <row r="609" spans="1:1" x14ac:dyDescent="0.25">
      <c r="A609" s="11"/>
    </row>
    <row r="610" spans="1:1" x14ac:dyDescent="0.25">
      <c r="A610" s="11"/>
    </row>
    <row r="611" spans="1:1" x14ac:dyDescent="0.25">
      <c r="A611" s="11"/>
    </row>
    <row r="612" spans="1:1" x14ac:dyDescent="0.25">
      <c r="A612" s="11"/>
    </row>
    <row r="613" spans="1:1" x14ac:dyDescent="0.25">
      <c r="A613" s="11"/>
    </row>
    <row r="614" spans="1:1" x14ac:dyDescent="0.25">
      <c r="A614" s="11"/>
    </row>
    <row r="615" spans="1:1" x14ac:dyDescent="0.25">
      <c r="A615" s="11"/>
    </row>
    <row r="616" spans="1:1" x14ac:dyDescent="0.25">
      <c r="A616" s="11"/>
    </row>
    <row r="617" spans="1:1" x14ac:dyDescent="0.25">
      <c r="A617" s="11"/>
    </row>
    <row r="618" spans="1:1" x14ac:dyDescent="0.25">
      <c r="A618" s="11"/>
    </row>
    <row r="619" spans="1:1" x14ac:dyDescent="0.25">
      <c r="A619" s="11"/>
    </row>
    <row r="620" spans="1:1" x14ac:dyDescent="0.25">
      <c r="A620" s="11"/>
    </row>
    <row r="621" spans="1:1" x14ac:dyDescent="0.25">
      <c r="A621" s="11"/>
    </row>
    <row r="622" spans="1:1" x14ac:dyDescent="0.25">
      <c r="A622" s="11"/>
    </row>
    <row r="623" spans="1:1" x14ac:dyDescent="0.25">
      <c r="A623" s="11"/>
    </row>
    <row r="624" spans="1:1" x14ac:dyDescent="0.25">
      <c r="A624" s="11"/>
    </row>
    <row r="625" spans="1:1" x14ac:dyDescent="0.25">
      <c r="A625" s="11"/>
    </row>
    <row r="626" spans="1:1" x14ac:dyDescent="0.25">
      <c r="A626" s="11"/>
    </row>
    <row r="627" spans="1:1" x14ac:dyDescent="0.25">
      <c r="A627" s="11"/>
    </row>
    <row r="628" spans="1:1" x14ac:dyDescent="0.25">
      <c r="A628" s="11"/>
    </row>
    <row r="629" spans="1:1" x14ac:dyDescent="0.25">
      <c r="A629" s="11"/>
    </row>
    <row r="630" spans="1:1" x14ac:dyDescent="0.25">
      <c r="A630" s="11"/>
    </row>
    <row r="631" spans="1:1" x14ac:dyDescent="0.25">
      <c r="A631" s="11"/>
    </row>
    <row r="632" spans="1:1" x14ac:dyDescent="0.25">
      <c r="A632" s="11"/>
    </row>
    <row r="633" spans="1:1" x14ac:dyDescent="0.25">
      <c r="A633" s="11"/>
    </row>
    <row r="634" spans="1:1" x14ac:dyDescent="0.25">
      <c r="A634" s="11"/>
    </row>
    <row r="635" spans="1:1" x14ac:dyDescent="0.25">
      <c r="A635" s="11"/>
    </row>
    <row r="636" spans="1:1" x14ac:dyDescent="0.25">
      <c r="A636" s="11"/>
    </row>
    <row r="637" spans="1:1" x14ac:dyDescent="0.25">
      <c r="A637" s="11"/>
    </row>
    <row r="638" spans="1:1" x14ac:dyDescent="0.25">
      <c r="A638" s="11"/>
    </row>
    <row r="639" spans="1:1" x14ac:dyDescent="0.25">
      <c r="A639" s="11"/>
    </row>
    <row r="640" spans="1:1" x14ac:dyDescent="0.25">
      <c r="A640" s="11"/>
    </row>
    <row r="641" spans="1:1" x14ac:dyDescent="0.25">
      <c r="A641" s="11"/>
    </row>
    <row r="642" spans="1:1" x14ac:dyDescent="0.25">
      <c r="A642" s="11"/>
    </row>
    <row r="643" spans="1:1" x14ac:dyDescent="0.25">
      <c r="A643" s="11"/>
    </row>
    <row r="644" spans="1:1" x14ac:dyDescent="0.25">
      <c r="A644" s="11"/>
    </row>
    <row r="645" spans="1:1" x14ac:dyDescent="0.25">
      <c r="A645" s="11"/>
    </row>
    <row r="646" spans="1:1" x14ac:dyDescent="0.25">
      <c r="A646" s="11"/>
    </row>
    <row r="647" spans="1:1" x14ac:dyDescent="0.25">
      <c r="A647" s="11"/>
    </row>
    <row r="648" spans="1:1" x14ac:dyDescent="0.25">
      <c r="A648" s="11"/>
    </row>
    <row r="649" spans="1:1" x14ac:dyDescent="0.25">
      <c r="A649" s="11"/>
    </row>
    <row r="650" spans="1:1" x14ac:dyDescent="0.25">
      <c r="A650" s="11"/>
    </row>
    <row r="651" spans="1:1" x14ac:dyDescent="0.25">
      <c r="A651" s="11"/>
    </row>
    <row r="652" spans="1:1" x14ac:dyDescent="0.25">
      <c r="A652" s="11"/>
    </row>
    <row r="653" spans="1:1" x14ac:dyDescent="0.25">
      <c r="A653" s="11"/>
    </row>
    <row r="654" spans="1:1" x14ac:dyDescent="0.25">
      <c r="A654" s="11"/>
    </row>
    <row r="655" spans="1:1" x14ac:dyDescent="0.25">
      <c r="A655" s="11"/>
    </row>
    <row r="656" spans="1:1" x14ac:dyDescent="0.25">
      <c r="A656" s="11"/>
    </row>
    <row r="657" spans="1:1" x14ac:dyDescent="0.25">
      <c r="A657" s="11"/>
    </row>
    <row r="658" spans="1:1" x14ac:dyDescent="0.25">
      <c r="A658" s="11"/>
    </row>
    <row r="659" spans="1:1" x14ac:dyDescent="0.25">
      <c r="A659" s="11"/>
    </row>
    <row r="660" spans="1:1" x14ac:dyDescent="0.25">
      <c r="A660" s="11"/>
    </row>
    <row r="661" spans="1:1" x14ac:dyDescent="0.25">
      <c r="A661" s="11"/>
    </row>
    <row r="662" spans="1:1" x14ac:dyDescent="0.25">
      <c r="A662" s="11"/>
    </row>
    <row r="663" spans="1:1" x14ac:dyDescent="0.25">
      <c r="A663" s="11"/>
    </row>
    <row r="664" spans="1:1" x14ac:dyDescent="0.25">
      <c r="A664" s="11"/>
    </row>
    <row r="665" spans="1:1" x14ac:dyDescent="0.25">
      <c r="A665" s="11"/>
    </row>
    <row r="666" spans="1:1" x14ac:dyDescent="0.25">
      <c r="A666" s="11"/>
    </row>
    <row r="667" spans="1:1" x14ac:dyDescent="0.25">
      <c r="A667" s="11"/>
    </row>
    <row r="668" spans="1:1" x14ac:dyDescent="0.25">
      <c r="A668" s="11"/>
    </row>
    <row r="669" spans="1:1" x14ac:dyDescent="0.25">
      <c r="A669" s="11"/>
    </row>
    <row r="670" spans="1:1" x14ac:dyDescent="0.25">
      <c r="A670" s="11"/>
    </row>
    <row r="671" spans="1:1" x14ac:dyDescent="0.25">
      <c r="A671" s="11"/>
    </row>
    <row r="672" spans="1:1" x14ac:dyDescent="0.25">
      <c r="A672" s="11"/>
    </row>
    <row r="673" spans="1:1" x14ac:dyDescent="0.25">
      <c r="A673" s="11"/>
    </row>
    <row r="674" spans="1:1" x14ac:dyDescent="0.25">
      <c r="A674" s="11"/>
    </row>
    <row r="675" spans="1:1" x14ac:dyDescent="0.25">
      <c r="A675" s="11"/>
    </row>
    <row r="676" spans="1:1" x14ac:dyDescent="0.25">
      <c r="A676" s="11"/>
    </row>
    <row r="677" spans="1:1" x14ac:dyDescent="0.25">
      <c r="A677" s="11"/>
    </row>
    <row r="678" spans="1:1" x14ac:dyDescent="0.25">
      <c r="A678" s="11"/>
    </row>
    <row r="679" spans="1:1" x14ac:dyDescent="0.25">
      <c r="A679" s="11"/>
    </row>
    <row r="680" spans="1:1" x14ac:dyDescent="0.25">
      <c r="A680" s="11"/>
    </row>
    <row r="681" spans="1:1" x14ac:dyDescent="0.25">
      <c r="A681" s="11"/>
    </row>
    <row r="682" spans="1:1" x14ac:dyDescent="0.25">
      <c r="A682" s="11"/>
    </row>
    <row r="683" spans="1:1" x14ac:dyDescent="0.25">
      <c r="A683" s="11"/>
    </row>
    <row r="684" spans="1:1" x14ac:dyDescent="0.25">
      <c r="A684" s="11"/>
    </row>
    <row r="685" spans="1:1" x14ac:dyDescent="0.25">
      <c r="A685" s="11"/>
    </row>
    <row r="686" spans="1:1" x14ac:dyDescent="0.25">
      <c r="A686" s="11"/>
    </row>
    <row r="687" spans="1:1" x14ac:dyDescent="0.25">
      <c r="A687" s="11"/>
    </row>
    <row r="688" spans="1:1" x14ac:dyDescent="0.25">
      <c r="A688" s="11"/>
    </row>
    <row r="689" spans="1:1" x14ac:dyDescent="0.25">
      <c r="A689" s="11"/>
    </row>
    <row r="690" spans="1:1" x14ac:dyDescent="0.25">
      <c r="A690" s="11"/>
    </row>
    <row r="691" spans="1:1" x14ac:dyDescent="0.25">
      <c r="A691" s="11"/>
    </row>
    <row r="692" spans="1:1" x14ac:dyDescent="0.25">
      <c r="A692" s="11"/>
    </row>
    <row r="693" spans="1:1" x14ac:dyDescent="0.25">
      <c r="A693" s="11"/>
    </row>
    <row r="694" spans="1:1" x14ac:dyDescent="0.25">
      <c r="A694" s="11"/>
    </row>
    <row r="695" spans="1:1" x14ac:dyDescent="0.25">
      <c r="A695" s="11"/>
    </row>
    <row r="696" spans="1:1" x14ac:dyDescent="0.25">
      <c r="A696" s="11"/>
    </row>
    <row r="697" spans="1:1" x14ac:dyDescent="0.25">
      <c r="A697" s="11"/>
    </row>
    <row r="698" spans="1:1" x14ac:dyDescent="0.25">
      <c r="A698" s="11"/>
    </row>
    <row r="699" spans="1:1" x14ac:dyDescent="0.25">
      <c r="A699" s="11"/>
    </row>
    <row r="700" spans="1:1" x14ac:dyDescent="0.25">
      <c r="A700" s="11"/>
    </row>
    <row r="701" spans="1:1" x14ac:dyDescent="0.25">
      <c r="A701" s="11"/>
    </row>
    <row r="702" spans="1:1" x14ac:dyDescent="0.25">
      <c r="A702" s="11"/>
    </row>
    <row r="703" spans="1:1" x14ac:dyDescent="0.25">
      <c r="A703" s="11"/>
    </row>
    <row r="704" spans="1:1" x14ac:dyDescent="0.25">
      <c r="A704" s="11"/>
    </row>
    <row r="705" spans="1:1" x14ac:dyDescent="0.25">
      <c r="A705" s="11"/>
    </row>
    <row r="706" spans="1:1" x14ac:dyDescent="0.25">
      <c r="A706" s="11"/>
    </row>
    <row r="707" spans="1:1" x14ac:dyDescent="0.25">
      <c r="A707" s="11"/>
    </row>
    <row r="708" spans="1:1" x14ac:dyDescent="0.25">
      <c r="A708" s="11"/>
    </row>
    <row r="709" spans="1:1" x14ac:dyDescent="0.25">
      <c r="A709" s="11"/>
    </row>
    <row r="710" spans="1:1" x14ac:dyDescent="0.25">
      <c r="A710" s="11"/>
    </row>
    <row r="711" spans="1:1" x14ac:dyDescent="0.25">
      <c r="A711" s="11"/>
    </row>
    <row r="712" spans="1:1" x14ac:dyDescent="0.25">
      <c r="A712" s="11"/>
    </row>
    <row r="713" spans="1:1" x14ac:dyDescent="0.25">
      <c r="A713" s="11"/>
    </row>
    <row r="714" spans="1:1" x14ac:dyDescent="0.25">
      <c r="A714" s="11"/>
    </row>
    <row r="715" spans="1:1" x14ac:dyDescent="0.25">
      <c r="A715" s="11"/>
    </row>
    <row r="716" spans="1:1" x14ac:dyDescent="0.25">
      <c r="A716" s="11"/>
    </row>
    <row r="717" spans="1:1" x14ac:dyDescent="0.25">
      <c r="A717" s="11"/>
    </row>
    <row r="718" spans="1:1" x14ac:dyDescent="0.25">
      <c r="A718" s="11"/>
    </row>
    <row r="719" spans="1:1" x14ac:dyDescent="0.25">
      <c r="A719" s="11"/>
    </row>
    <row r="720" spans="1:1" x14ac:dyDescent="0.25">
      <c r="A720" s="11"/>
    </row>
    <row r="721" spans="1:1" x14ac:dyDescent="0.25">
      <c r="A721" s="11"/>
    </row>
    <row r="722" spans="1:1" x14ac:dyDescent="0.25">
      <c r="A722" s="11"/>
    </row>
    <row r="723" spans="1:1" x14ac:dyDescent="0.25">
      <c r="A723" s="11"/>
    </row>
    <row r="724" spans="1:1" x14ac:dyDescent="0.25">
      <c r="A724" s="11"/>
    </row>
    <row r="725" spans="1:1" x14ac:dyDescent="0.25">
      <c r="A725" s="11"/>
    </row>
    <row r="726" spans="1:1" x14ac:dyDescent="0.25">
      <c r="A726" s="11"/>
    </row>
    <row r="727" spans="1:1" x14ac:dyDescent="0.25">
      <c r="A727" s="11"/>
    </row>
    <row r="728" spans="1:1" x14ac:dyDescent="0.25">
      <c r="A728" s="11"/>
    </row>
    <row r="729" spans="1:1" x14ac:dyDescent="0.25">
      <c r="A729" s="11"/>
    </row>
    <row r="730" spans="1:1" x14ac:dyDescent="0.25">
      <c r="A730" s="11"/>
    </row>
    <row r="731" spans="1:1" x14ac:dyDescent="0.25">
      <c r="A731" s="11"/>
    </row>
    <row r="732" spans="1:1" x14ac:dyDescent="0.25">
      <c r="A732" s="11"/>
    </row>
    <row r="733" spans="1:1" x14ac:dyDescent="0.25">
      <c r="A733" s="11"/>
    </row>
    <row r="734" spans="1:1" x14ac:dyDescent="0.25">
      <c r="A734" s="11"/>
    </row>
    <row r="735" spans="1:1" x14ac:dyDescent="0.25">
      <c r="A735" s="11"/>
    </row>
    <row r="736" spans="1:1" x14ac:dyDescent="0.25">
      <c r="A736" s="11"/>
    </row>
    <row r="737" spans="1:1" x14ac:dyDescent="0.25">
      <c r="A737" s="11"/>
    </row>
    <row r="738" spans="1:1" x14ac:dyDescent="0.25">
      <c r="A738" s="11"/>
    </row>
    <row r="739" spans="1:1" x14ac:dyDescent="0.25">
      <c r="A739" s="11"/>
    </row>
    <row r="740" spans="1:1" x14ac:dyDescent="0.25">
      <c r="A740" s="11"/>
    </row>
    <row r="741" spans="1:1" x14ac:dyDescent="0.25">
      <c r="A741" s="11"/>
    </row>
    <row r="742" spans="1:1" x14ac:dyDescent="0.25">
      <c r="A742" s="11"/>
    </row>
    <row r="743" spans="1:1" x14ac:dyDescent="0.25">
      <c r="A743" s="11"/>
    </row>
    <row r="744" spans="1:1" x14ac:dyDescent="0.25">
      <c r="A744" s="11"/>
    </row>
    <row r="745" spans="1:1" x14ac:dyDescent="0.25">
      <c r="A745" s="11"/>
    </row>
    <row r="746" spans="1:1" x14ac:dyDescent="0.25">
      <c r="A746" s="11"/>
    </row>
    <row r="747" spans="1:1" x14ac:dyDescent="0.25">
      <c r="A747" s="11"/>
    </row>
    <row r="748" spans="1:1" x14ac:dyDescent="0.25">
      <c r="A748" s="11"/>
    </row>
    <row r="749" spans="1:1" x14ac:dyDescent="0.25">
      <c r="A749" s="11"/>
    </row>
    <row r="750" spans="1:1" x14ac:dyDescent="0.25">
      <c r="A750" s="11"/>
    </row>
    <row r="751" spans="1:1" x14ac:dyDescent="0.25">
      <c r="A751" s="11"/>
    </row>
    <row r="752" spans="1:1" x14ac:dyDescent="0.25">
      <c r="A752" s="11"/>
    </row>
    <row r="753" spans="1:1" x14ac:dyDescent="0.25">
      <c r="A753" s="11"/>
    </row>
    <row r="754" spans="1:1" x14ac:dyDescent="0.25">
      <c r="A754" s="11"/>
    </row>
    <row r="755" spans="1:1" x14ac:dyDescent="0.25">
      <c r="A755" s="11"/>
    </row>
    <row r="756" spans="1:1" x14ac:dyDescent="0.25">
      <c r="A756" s="11"/>
    </row>
    <row r="757" spans="1:1" x14ac:dyDescent="0.25">
      <c r="A757" s="11"/>
    </row>
    <row r="758" spans="1:1" x14ac:dyDescent="0.25">
      <c r="A758" s="11"/>
    </row>
    <row r="759" spans="1:1" x14ac:dyDescent="0.25">
      <c r="A759" s="11"/>
    </row>
    <row r="760" spans="1:1" x14ac:dyDescent="0.25">
      <c r="A760" s="11"/>
    </row>
    <row r="761" spans="1:1" x14ac:dyDescent="0.25">
      <c r="A761" s="11"/>
    </row>
    <row r="762" spans="1:1" x14ac:dyDescent="0.25">
      <c r="A762" s="11"/>
    </row>
    <row r="763" spans="1:1" x14ac:dyDescent="0.25">
      <c r="A763" s="11"/>
    </row>
    <row r="764" spans="1:1" x14ac:dyDescent="0.25">
      <c r="A764" s="11"/>
    </row>
    <row r="765" spans="1:1" x14ac:dyDescent="0.25">
      <c r="A765" s="11"/>
    </row>
    <row r="766" spans="1:1" x14ac:dyDescent="0.25">
      <c r="A766" s="11"/>
    </row>
    <row r="767" spans="1:1" x14ac:dyDescent="0.25">
      <c r="A767" s="11"/>
    </row>
    <row r="768" spans="1:1" x14ac:dyDescent="0.25">
      <c r="A768" s="11"/>
    </row>
    <row r="769" spans="1:1" x14ac:dyDescent="0.25">
      <c r="A769" s="11"/>
    </row>
    <row r="770" spans="1:1" x14ac:dyDescent="0.25">
      <c r="A770" s="11"/>
    </row>
    <row r="771" spans="1:1" x14ac:dyDescent="0.25">
      <c r="A771" s="11"/>
    </row>
    <row r="772" spans="1:1" x14ac:dyDescent="0.25">
      <c r="A772" s="11"/>
    </row>
    <row r="773" spans="1:1" x14ac:dyDescent="0.25">
      <c r="A773" s="11"/>
    </row>
    <row r="774" spans="1:1" x14ac:dyDescent="0.25">
      <c r="A774" s="11"/>
    </row>
    <row r="775" spans="1:1" x14ac:dyDescent="0.25">
      <c r="A775" s="11"/>
    </row>
    <row r="776" spans="1:1" x14ac:dyDescent="0.25">
      <c r="A776" s="11"/>
    </row>
    <row r="777" spans="1:1" x14ac:dyDescent="0.25">
      <c r="A777" s="11"/>
    </row>
    <row r="778" spans="1:1" x14ac:dyDescent="0.25">
      <c r="A778" s="11"/>
    </row>
    <row r="779" spans="1:1" x14ac:dyDescent="0.25">
      <c r="A779" s="11"/>
    </row>
    <row r="780" spans="1:1" x14ac:dyDescent="0.25">
      <c r="A780" s="11"/>
    </row>
    <row r="781" spans="1:1" x14ac:dyDescent="0.25">
      <c r="A781" s="11"/>
    </row>
    <row r="782" spans="1:1" x14ac:dyDescent="0.25">
      <c r="A782" s="11"/>
    </row>
    <row r="783" spans="1:1" x14ac:dyDescent="0.25">
      <c r="A783" s="11"/>
    </row>
    <row r="784" spans="1:1" x14ac:dyDescent="0.25">
      <c r="A784" s="11"/>
    </row>
    <row r="785" spans="1:1" x14ac:dyDescent="0.25">
      <c r="A785" s="11"/>
    </row>
    <row r="786" spans="1:1" x14ac:dyDescent="0.25">
      <c r="A786" s="11"/>
    </row>
    <row r="787" spans="1:1" x14ac:dyDescent="0.25">
      <c r="A787" s="11"/>
    </row>
    <row r="788" spans="1:1" x14ac:dyDescent="0.25">
      <c r="A788" s="11"/>
    </row>
    <row r="789" spans="1:1" x14ac:dyDescent="0.25">
      <c r="A789" s="11"/>
    </row>
    <row r="790" spans="1:1" x14ac:dyDescent="0.25">
      <c r="A790" s="11"/>
    </row>
    <row r="791" spans="1:1" x14ac:dyDescent="0.25">
      <c r="A791" s="11"/>
    </row>
    <row r="792" spans="1:1" x14ac:dyDescent="0.25">
      <c r="A792" s="11"/>
    </row>
    <row r="793" spans="1:1" x14ac:dyDescent="0.25">
      <c r="A793" s="11"/>
    </row>
    <row r="794" spans="1:1" x14ac:dyDescent="0.25">
      <c r="A794" s="11"/>
    </row>
    <row r="795" spans="1:1" x14ac:dyDescent="0.25">
      <c r="A795" s="11"/>
    </row>
    <row r="796" spans="1:1" x14ac:dyDescent="0.25">
      <c r="A796" s="11"/>
    </row>
    <row r="797" spans="1:1" x14ac:dyDescent="0.25">
      <c r="A797" s="11"/>
    </row>
    <row r="798" spans="1:1" x14ac:dyDescent="0.25">
      <c r="A798" s="11"/>
    </row>
    <row r="799" spans="1:1" x14ac:dyDescent="0.25">
      <c r="A799" s="11"/>
    </row>
    <row r="800" spans="1:1" x14ac:dyDescent="0.25">
      <c r="A800" s="11"/>
    </row>
    <row r="801" spans="1:1" x14ac:dyDescent="0.25">
      <c r="A801" s="11"/>
    </row>
    <row r="802" spans="1:1" x14ac:dyDescent="0.25">
      <c r="A802" s="11"/>
    </row>
    <row r="803" spans="1:1" x14ac:dyDescent="0.25">
      <c r="A803" s="11"/>
    </row>
    <row r="804" spans="1:1" x14ac:dyDescent="0.25">
      <c r="A804" s="11"/>
    </row>
    <row r="805" spans="1:1" x14ac:dyDescent="0.25">
      <c r="A805" s="11"/>
    </row>
    <row r="806" spans="1:1" x14ac:dyDescent="0.25">
      <c r="A806" s="11"/>
    </row>
    <row r="807" spans="1:1" x14ac:dyDescent="0.25">
      <c r="A807" s="11"/>
    </row>
    <row r="808" spans="1:1" x14ac:dyDescent="0.25">
      <c r="A808" s="11"/>
    </row>
    <row r="809" spans="1:1" x14ac:dyDescent="0.25">
      <c r="A809" s="11"/>
    </row>
    <row r="810" spans="1:1" x14ac:dyDescent="0.25">
      <c r="A810" s="11"/>
    </row>
    <row r="811" spans="1:1" x14ac:dyDescent="0.25">
      <c r="A811" s="11"/>
    </row>
    <row r="812" spans="1:1" x14ac:dyDescent="0.25">
      <c r="A812" s="11"/>
    </row>
    <row r="813" spans="1:1" x14ac:dyDescent="0.25">
      <c r="A813" s="11"/>
    </row>
    <row r="814" spans="1:1" x14ac:dyDescent="0.25">
      <c r="A814" s="11"/>
    </row>
    <row r="815" spans="1:1" x14ac:dyDescent="0.25">
      <c r="A815" s="11"/>
    </row>
    <row r="816" spans="1:1" x14ac:dyDescent="0.25">
      <c r="A816" s="11"/>
    </row>
    <row r="817" spans="1:1" x14ac:dyDescent="0.25">
      <c r="A817" s="11"/>
    </row>
    <row r="818" spans="1:1" x14ac:dyDescent="0.25">
      <c r="A818" s="11"/>
    </row>
    <row r="819" spans="1:1" x14ac:dyDescent="0.25">
      <c r="A819" s="11"/>
    </row>
    <row r="820" spans="1:1" x14ac:dyDescent="0.25">
      <c r="A820" s="11"/>
    </row>
    <row r="821" spans="1:1" x14ac:dyDescent="0.25">
      <c r="A821" s="11"/>
    </row>
    <row r="822" spans="1:1" x14ac:dyDescent="0.25">
      <c r="A822" s="11"/>
    </row>
    <row r="823" spans="1:1" x14ac:dyDescent="0.25">
      <c r="A823" s="11"/>
    </row>
    <row r="824" spans="1:1" x14ac:dyDescent="0.25">
      <c r="A824" s="11"/>
    </row>
    <row r="825" spans="1:1" x14ac:dyDescent="0.25">
      <c r="A825" s="11"/>
    </row>
    <row r="826" spans="1:1" x14ac:dyDescent="0.25">
      <c r="A826" s="11"/>
    </row>
    <row r="827" spans="1:1" x14ac:dyDescent="0.25">
      <c r="A827" s="11"/>
    </row>
    <row r="828" spans="1:1" x14ac:dyDescent="0.25">
      <c r="A828" s="11"/>
    </row>
    <row r="829" spans="1:1" x14ac:dyDescent="0.25">
      <c r="A829" s="11"/>
    </row>
    <row r="830" spans="1:1" x14ac:dyDescent="0.25">
      <c r="A830" s="11"/>
    </row>
    <row r="831" spans="1:1" x14ac:dyDescent="0.25">
      <c r="A831" s="11"/>
    </row>
    <row r="832" spans="1:1" x14ac:dyDescent="0.25">
      <c r="A832" s="11"/>
    </row>
    <row r="833" spans="1:1" x14ac:dyDescent="0.25">
      <c r="A833" s="11"/>
    </row>
  </sheetData>
  <mergeCells count="11">
    <mergeCell ref="AG1:AK1"/>
    <mergeCell ref="AL1:AP1"/>
    <mergeCell ref="AQ1:AU1"/>
    <mergeCell ref="AV1:AZ1"/>
    <mergeCell ref="BA1:BD1"/>
    <mergeCell ref="AB1:AF1"/>
    <mergeCell ref="A1:B1"/>
    <mergeCell ref="H1:L1"/>
    <mergeCell ref="M1:Q1"/>
    <mergeCell ref="R1:V1"/>
    <mergeCell ref="W1:AA1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6"/>
  <dimension ref="A1:N13"/>
  <sheetViews>
    <sheetView tabSelected="1" zoomScaleNormal="100" workbookViewId="0">
      <selection activeCell="B13" sqref="B13"/>
    </sheetView>
  </sheetViews>
  <sheetFormatPr defaultRowHeight="16.5" x14ac:dyDescent="0.25"/>
  <cols>
    <col min="2" max="2" width="18.5" bestFit="1" customWidth="1"/>
    <col min="3" max="3" width="11.75" bestFit="1" customWidth="1"/>
    <col min="4" max="4" width="13.875" bestFit="1" customWidth="1"/>
    <col min="8" max="8" width="12.875" style="35" bestFit="1" customWidth="1"/>
    <col min="9" max="9" width="10.125" bestFit="1" customWidth="1"/>
    <col min="12" max="12" width="12.25" style="36" bestFit="1" customWidth="1"/>
  </cols>
  <sheetData>
    <row r="1" spans="1:14" x14ac:dyDescent="0.25">
      <c r="A1" s="20"/>
      <c r="B1" s="3" t="s">
        <v>12</v>
      </c>
      <c r="C1" s="3" t="s">
        <v>13</v>
      </c>
      <c r="D1" s="3" t="s">
        <v>14</v>
      </c>
      <c r="E1" s="3" t="s">
        <v>15</v>
      </c>
      <c r="F1" s="3" t="s">
        <v>16</v>
      </c>
      <c r="G1" s="3" t="s">
        <v>17</v>
      </c>
      <c r="H1" s="41" t="s">
        <v>18</v>
      </c>
      <c r="I1" s="3" t="s">
        <v>19</v>
      </c>
      <c r="J1" s="3" t="s">
        <v>20</v>
      </c>
      <c r="K1" s="3" t="s">
        <v>21</v>
      </c>
      <c r="L1" s="43" t="s">
        <v>22</v>
      </c>
    </row>
    <row r="2" spans="1:14" x14ac:dyDescent="0.25">
      <c r="A2" s="1" t="s">
        <v>0</v>
      </c>
      <c r="B2" s="1" t="s">
        <v>1</v>
      </c>
      <c r="C2" s="1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42" t="s">
        <v>7</v>
      </c>
      <c r="I2" s="2" t="s">
        <v>8</v>
      </c>
      <c r="J2" s="1" t="s">
        <v>9</v>
      </c>
      <c r="K2" s="1" t="s">
        <v>10</v>
      </c>
      <c r="L2" s="44" t="s">
        <v>11</v>
      </c>
      <c r="M2" t="s">
        <v>68</v>
      </c>
      <c r="N2" t="s">
        <v>69</v>
      </c>
    </row>
    <row r="3" spans="1:14" x14ac:dyDescent="0.25">
      <c r="B3" t="str">
        <f>[2]DDE!$B$25</f>
        <v>黃金201504</v>
      </c>
      <c r="C3" s="40">
        <f ca="1">主表!$C$1</f>
        <v>42539</v>
      </c>
      <c r="D3" s="38"/>
      <c r="E3" s="37">
        <f>[1]DDE!$M$25</f>
        <v>1169.5999999999999</v>
      </c>
      <c r="F3" s="37">
        <f>[1]DDE!$N$25</f>
        <v>1172.9000000000001</v>
      </c>
      <c r="G3" s="37">
        <f>[1]DDE!$O$25</f>
        <v>1166.3</v>
      </c>
      <c r="H3" s="35">
        <f>[1]DDE!$G$25</f>
        <v>1172.5</v>
      </c>
      <c r="I3" s="37">
        <f>[1]DDE!$H$25</f>
        <v>8.1999999999999993</v>
      </c>
      <c r="J3" s="34"/>
      <c r="K3">
        <f>[1]DDE!$J$25</f>
        <v>1</v>
      </c>
      <c r="L3" s="36">
        <f>[1]DDE!$K$25</f>
        <v>27869</v>
      </c>
    </row>
    <row r="4" spans="1:14" x14ac:dyDescent="0.25">
      <c r="B4" t="str">
        <f>[2]DDE!$B$29</f>
        <v>澳幣201503</v>
      </c>
      <c r="C4" s="40">
        <f ca="1">主表!$C$1</f>
        <v>42539</v>
      </c>
      <c r="D4" s="38"/>
      <c r="E4">
        <f>[1]DDE!$M$29 *10000</f>
        <v>7705.9999999999991</v>
      </c>
      <c r="F4">
        <f>[1]DDE!$N$29 *10000</f>
        <v>7724</v>
      </c>
      <c r="G4">
        <f>[1]DDE!$O$29 *10000</f>
        <v>7681</v>
      </c>
      <c r="H4" s="36">
        <f>[1]DDE!$G$29 *10000</f>
        <v>7718</v>
      </c>
      <c r="I4">
        <f>[1]DDE!$H$29 *10000</f>
        <v>0</v>
      </c>
      <c r="J4" s="34"/>
      <c r="K4">
        <f>[1]DDE!$J$29</f>
        <v>1</v>
      </c>
      <c r="L4" s="36">
        <f>[1]DDE!$K$29</f>
        <v>21317</v>
      </c>
    </row>
    <row r="5" spans="1:14" x14ac:dyDescent="0.25">
      <c r="B5" t="str">
        <f>[2]DDE!$B$30</f>
        <v>英鎊201503</v>
      </c>
      <c r="C5" s="40">
        <f ca="1">主表!$C$1</f>
        <v>42539</v>
      </c>
      <c r="D5" s="38"/>
      <c r="E5">
        <f>[1]DDE!$M$30 *10000</f>
        <v>15042</v>
      </c>
      <c r="F5">
        <f>[1]DDE!$N$30 *10000</f>
        <v>15089.999999999998</v>
      </c>
      <c r="G5">
        <f>[1]DDE!$O$30 *10000</f>
        <v>15033</v>
      </c>
      <c r="H5" s="36">
        <f>[1]DDE!$G$30 *10000</f>
        <v>15088.999999999998</v>
      </c>
      <c r="I5">
        <f>[1]DDE!$H$30 *10000</f>
        <v>41</v>
      </c>
      <c r="J5" s="34"/>
      <c r="K5">
        <f>[1]DDE!$J$30</f>
        <v>3</v>
      </c>
      <c r="L5" s="36">
        <f>[1]DDE!$K$30</f>
        <v>15445</v>
      </c>
    </row>
    <row r="6" spans="1:14" x14ac:dyDescent="0.25">
      <c r="B6" t="str">
        <f>[2]DDE!$B$31</f>
        <v>加幣201503</v>
      </c>
      <c r="C6" s="40">
        <f ca="1">主表!$C$1</f>
        <v>42539</v>
      </c>
      <c r="D6" s="38"/>
      <c r="E6">
        <f>[1]DDE!$M$31 *10000</f>
        <v>7922</v>
      </c>
      <c r="F6">
        <f>[1]DDE!$N$31 *10000</f>
        <v>7941</v>
      </c>
      <c r="G6">
        <f>[1]DDE!$O$31 *10000</f>
        <v>7917.9999999999991</v>
      </c>
      <c r="H6" s="36">
        <f>[1]DDE!$G$31 *10000</f>
        <v>7936</v>
      </c>
      <c r="I6">
        <f>[1]DDE!$H$31 *10000</f>
        <v>8</v>
      </c>
      <c r="J6" s="34"/>
      <c r="K6">
        <f>[1]DDE!$J$31</f>
        <v>1</v>
      </c>
      <c r="L6" s="36">
        <f>[1]DDE!$K$31</f>
        <v>6662</v>
      </c>
    </row>
    <row r="7" spans="1:14" x14ac:dyDescent="0.25">
      <c r="B7" t="str">
        <f>[2]DDE!$B$32</f>
        <v>歐元201503</v>
      </c>
      <c r="C7" s="40">
        <f ca="1">主表!$C$1</f>
        <v>42539</v>
      </c>
      <c r="D7" s="38"/>
      <c r="E7">
        <f>[1]DDE!$M$32 *10000</f>
        <v>10835.999999999998</v>
      </c>
      <c r="F7">
        <f>[1]DDE!$N$32 *10000</f>
        <v>10889</v>
      </c>
      <c r="G7">
        <f>[1]DDE!$O$32 *10000</f>
        <v>10824</v>
      </c>
      <c r="H7" s="36">
        <f>[1]DDE!$G$32 *10000</f>
        <v>10885</v>
      </c>
      <c r="I7">
        <f>[1]DDE!$H$32 *10000</f>
        <v>26</v>
      </c>
      <c r="J7" s="34"/>
      <c r="K7">
        <f>[1]DDE!$J$32</f>
        <v>1</v>
      </c>
      <c r="L7" s="36">
        <f>[1]DDE!$K$32</f>
        <v>34935</v>
      </c>
    </row>
    <row r="8" spans="1:14" x14ac:dyDescent="0.25">
      <c r="B8" t="str">
        <f>[2]DDE!$B$33</f>
        <v>日圓201503</v>
      </c>
      <c r="C8" s="40">
        <f ca="1">主表!$C$1</f>
        <v>42539</v>
      </c>
      <c r="D8" s="38"/>
      <c r="E8">
        <f>[1]DDE!$M$33 *1000000</f>
        <v>8278</v>
      </c>
      <c r="F8">
        <f>[1]DDE!$N$33 *1000000</f>
        <v>8291</v>
      </c>
      <c r="G8">
        <f>[1]DDE!$O$33 *1000000</f>
        <v>8255</v>
      </c>
      <c r="H8" s="36">
        <f>[1]DDE!$G$33 *1000000</f>
        <v>8279</v>
      </c>
      <c r="I8">
        <f>[1]DDE!$H$33 *1000000</f>
        <v>-7</v>
      </c>
      <c r="J8" s="34"/>
      <c r="K8">
        <f>[1]DDE!$J$33</f>
        <v>1</v>
      </c>
      <c r="L8" s="36">
        <f>[1]DDE!$K$33</f>
        <v>27822</v>
      </c>
    </row>
    <row r="9" spans="1:14" x14ac:dyDescent="0.25">
      <c r="B9" t="str">
        <f>[2]DDE!$B$34</f>
        <v>瑞郎201503</v>
      </c>
      <c r="C9" s="40">
        <f ca="1">主表!$C$1</f>
        <v>42539</v>
      </c>
      <c r="D9" s="38"/>
      <c r="E9">
        <f>[1]DDE!$M$34 *10000</f>
        <v>10130.999999999998</v>
      </c>
      <c r="F9">
        <f>[1]DDE!$N$34 *10000</f>
        <v>10169</v>
      </c>
      <c r="G9">
        <f>[1]DDE!$O$34 *10000</f>
        <v>10130.999999999998</v>
      </c>
      <c r="H9" s="36">
        <f>[1]DDE!$G$34 *10000</f>
        <v>10157</v>
      </c>
      <c r="I9">
        <f>[1]DDE!$H$34 *10000</f>
        <v>1</v>
      </c>
      <c r="J9" s="34"/>
      <c r="K9">
        <f>[1]DDE!$J$34</f>
        <v>2</v>
      </c>
      <c r="L9" s="36">
        <f>[1]DDE!$K$34</f>
        <v>4113</v>
      </c>
    </row>
    <row r="10" spans="1:14" x14ac:dyDescent="0.25">
      <c r="B10" t="str">
        <f>[2]DDE!$B$38</f>
        <v>輕原油201504</v>
      </c>
      <c r="C10" s="40">
        <f ca="1">主表!$C$1</f>
        <v>42539</v>
      </c>
      <c r="D10" s="38"/>
      <c r="E10" s="37">
        <f>[1]DDE!$M$38</f>
        <v>49.6</v>
      </c>
      <c r="F10">
        <f>[1]DDE!$N$38</f>
        <v>49.76</v>
      </c>
      <c r="G10">
        <f>[1]DDE!$O$38</f>
        <v>49.32</v>
      </c>
      <c r="H10" s="35">
        <f>[1]DDE!$G$38</f>
        <v>49.67</v>
      </c>
      <c r="I10">
        <f>[1]DDE!$H$38</f>
        <v>0.06</v>
      </c>
      <c r="J10" s="34"/>
      <c r="K10">
        <f>[1]DDE!$J$38</f>
        <v>1</v>
      </c>
      <c r="L10" s="36">
        <f>[1]DDE!$K$38</f>
        <v>11918</v>
      </c>
    </row>
    <row r="11" spans="1:14" x14ac:dyDescent="0.25">
      <c r="B11" t="str">
        <f>[2]DDE!$B$71</f>
        <v>美元指數201503</v>
      </c>
      <c r="C11" s="40">
        <f ca="1">主表!$C$1</f>
        <v>42539</v>
      </c>
      <c r="D11" s="38"/>
      <c r="E11" s="37">
        <f>[1]DDE!$M$71</f>
        <v>97.77</v>
      </c>
      <c r="F11">
        <f>[1]DDE!$N$71</f>
        <v>97.844999999999999</v>
      </c>
      <c r="G11">
        <f>[1]DDE!$O$71</f>
        <v>97.444999999999993</v>
      </c>
      <c r="H11" s="35">
        <f>[1]DDE!$G$71</f>
        <v>97.465000000000003</v>
      </c>
      <c r="I11">
        <f>[1]DDE!$H$71</f>
        <v>-0.13900000000000001</v>
      </c>
      <c r="J11" s="34"/>
      <c r="K11">
        <f>[1]DDE!$J$71</f>
        <v>1</v>
      </c>
      <c r="L11" s="36">
        <f>[1]DDE!$K$71</f>
        <v>6688</v>
      </c>
    </row>
    <row r="13" spans="1:14" x14ac:dyDescent="0.25">
      <c r="B13" t="str">
        <f>[3]RTD!$M$6</f>
        <v>日經225指數</v>
      </c>
      <c r="C13" s="40">
        <f ca="1">TODAY()</f>
        <v>42539</v>
      </c>
      <c r="D13" s="50" t="str">
        <f>[3]RTD!$D$3</f>
        <v>18:27:30</v>
      </c>
      <c r="E13">
        <f>[3]RTD!$M$13</f>
        <v>1</v>
      </c>
      <c r="F13">
        <f>[3]RTD!$M$14</f>
        <v>2</v>
      </c>
      <c r="G13">
        <f>[3]RTD!$M$15</f>
        <v>3</v>
      </c>
      <c r="H13" s="35">
        <f>[3]RTD!$M$12</f>
        <v>4</v>
      </c>
      <c r="I13">
        <f>[3]RTD!$M$9</f>
        <v>5</v>
      </c>
      <c r="J13">
        <f>[3]RTD!$M$11</f>
        <v>6</v>
      </c>
      <c r="K13">
        <f>[3]RTD!$M$20</f>
        <v>7</v>
      </c>
      <c r="L13" s="36">
        <f>[3]RTD!$M$21</f>
        <v>8</v>
      </c>
      <c r="M13">
        <f>[3]RTD!$M$24</f>
        <v>9</v>
      </c>
      <c r="N13">
        <f>[3]RTD!$M$25</f>
        <v>10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renew_globe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C1"/>
  <sheetViews>
    <sheetView workbookViewId="0">
      <selection activeCell="D2" sqref="D2"/>
    </sheetView>
  </sheetViews>
  <sheetFormatPr defaultRowHeight="16.5" x14ac:dyDescent="0.25"/>
  <cols>
    <col min="1" max="1" width="9" style="40"/>
  </cols>
  <sheetData>
    <row r="1" spans="1:3" x14ac:dyDescent="0.25">
      <c r="A1" s="40">
        <v>42539</v>
      </c>
      <c r="B1">
        <v>160</v>
      </c>
      <c r="C1">
        <v>3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主表</vt:lpstr>
      <vt:lpstr>yeswinRTD</vt:lpstr>
      <vt:lpstr>temp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JAY</dc:creator>
  <cp:lastModifiedBy>A</cp:lastModifiedBy>
  <dcterms:created xsi:type="dcterms:W3CDTF">2015-02-18T05:15:07Z</dcterms:created>
  <dcterms:modified xsi:type="dcterms:W3CDTF">2016-06-18T10:27:38Z</dcterms:modified>
</cp:coreProperties>
</file>