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PTT_Quant_Manager\Futures Monitor Platform\"/>
    </mc:Choice>
  </mc:AlternateContent>
  <bookViews>
    <workbookView xWindow="600" yWindow="255" windowWidth="19320" windowHeight="7695"/>
  </bookViews>
  <sheets>
    <sheet name="主表" sheetId="2" r:id="rId1"/>
    <sheet name="犀利環球" sheetId="5" r:id="rId2"/>
    <sheet name="temp" sheetId="6" r:id="rId3"/>
  </sheets>
  <externalReferences>
    <externalReference r:id="rId4"/>
    <externalReference r:id="rId5"/>
  </externalReferences>
  <calcPr calcId="152511" refMode="R1C1"/>
</workbook>
</file>

<file path=xl/calcChain.xml><?xml version="1.0" encoding="utf-8"?>
<calcChain xmlns="http://schemas.openxmlformats.org/spreadsheetml/2006/main">
  <c r="B11" i="5" l="1"/>
  <c r="B3" i="5"/>
  <c r="B4" i="5"/>
  <c r="B5" i="5"/>
  <c r="B6" i="5"/>
  <c r="B7" i="5"/>
  <c r="B8" i="5"/>
  <c r="B9" i="5"/>
  <c r="B10" i="5"/>
  <c r="C1" i="2" l="1"/>
  <c r="C10" i="2" l="1"/>
  <c r="C11" i="2"/>
  <c r="C8" i="2"/>
  <c r="C9" i="2"/>
  <c r="C6" i="2"/>
  <c r="C7" i="2"/>
  <c r="C4" i="2"/>
  <c r="C5" i="2"/>
  <c r="C3" i="5"/>
  <c r="C7" i="5"/>
  <c r="C11" i="5"/>
  <c r="C4" i="5"/>
  <c r="C8" i="5"/>
  <c r="C5" i="5"/>
  <c r="C9" i="5"/>
  <c r="C6" i="5"/>
  <c r="C10" i="5"/>
  <c r="C3" i="2"/>
  <c r="H11" i="5" l="1"/>
  <c r="E11" i="2" s="1"/>
  <c r="I11" i="5"/>
  <c r="K11" i="5"/>
  <c r="L11" i="5"/>
  <c r="E11" i="5"/>
  <c r="F11" i="5"/>
  <c r="F11" i="2" s="1"/>
  <c r="G11" i="5"/>
  <c r="G11" i="2" s="1"/>
  <c r="H3" i="5"/>
  <c r="I3" i="5"/>
  <c r="K3" i="5"/>
  <c r="L3" i="5"/>
  <c r="E3" i="5"/>
  <c r="F3" i="5"/>
  <c r="G3" i="5"/>
  <c r="H4" i="5"/>
  <c r="I4" i="5"/>
  <c r="K4" i="5"/>
  <c r="L4" i="5"/>
  <c r="E4" i="5"/>
  <c r="F4" i="5"/>
  <c r="G4" i="5"/>
  <c r="H5" i="5"/>
  <c r="I5" i="5"/>
  <c r="K5" i="5"/>
  <c r="L5" i="5"/>
  <c r="E5" i="5"/>
  <c r="F5" i="5"/>
  <c r="G5" i="5"/>
  <c r="H6" i="5"/>
  <c r="I6" i="5"/>
  <c r="K6" i="5"/>
  <c r="L6" i="5"/>
  <c r="E6" i="5"/>
  <c r="F6" i="5"/>
  <c r="G6" i="5"/>
  <c r="H7" i="5"/>
  <c r="I7" i="5"/>
  <c r="K7" i="5"/>
  <c r="L7" i="5"/>
  <c r="E7" i="5"/>
  <c r="F7" i="5"/>
  <c r="G7" i="5"/>
  <c r="H8" i="5"/>
  <c r="I8" i="5"/>
  <c r="K8" i="5"/>
  <c r="L8" i="5"/>
  <c r="E8" i="5"/>
  <c r="F8" i="5"/>
  <c r="G8" i="5"/>
  <c r="H9" i="5"/>
  <c r="E9" i="2" s="1"/>
  <c r="I9" i="5"/>
  <c r="K9" i="5"/>
  <c r="L9" i="5"/>
  <c r="E9" i="5"/>
  <c r="F9" i="5"/>
  <c r="F9" i="2" s="1"/>
  <c r="G9" i="5"/>
  <c r="G9" i="2" s="1"/>
  <c r="H10" i="5"/>
  <c r="E10" i="2" s="1"/>
  <c r="I10" i="5"/>
  <c r="K10" i="5"/>
  <c r="L10" i="5"/>
  <c r="E10" i="5"/>
  <c r="F10" i="5"/>
  <c r="F10" i="2" s="1"/>
  <c r="G10" i="5"/>
  <c r="G10" i="2" s="1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</calcChain>
</file>

<file path=xl/sharedStrings.xml><?xml version="1.0" encoding="utf-8"?>
<sst xmlns="http://schemas.openxmlformats.org/spreadsheetml/2006/main" count="108" uniqueCount="68">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</sst>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0" fontId="7" fillId="0" borderId="3" xfId="1" applyFont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FUBON\&#26700;&#38754;\&#29312;&#21033;&#29872;&#29699;DD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tabSelected="1" zoomScale="80" zoomScaleNormal="80" workbookViewId="0">
      <pane ySplit="2" topLeftCell="A3" activePane="bottomLeft" state="frozenSplit"/>
      <selection activeCell="AI92" sqref="AI92"/>
      <selection pane="bottomLeft" activeCell="A4" sqref="A4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customWidth="1"/>
    <col min="9" max="9" width="8" style="9" customWidth="1"/>
    <col min="10" max="10" width="10.5" style="9" customWidth="1"/>
    <col min="11" max="11" width="8" style="9" customWidth="1"/>
    <col min="12" max="12" width="9.5" style="9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8" t="s">
        <v>23</v>
      </c>
      <c r="B1" s="49"/>
      <c r="C1" s="4">
        <f ca="1">TODAY()</f>
        <v>42518</v>
      </c>
      <c r="D1" s="5"/>
      <c r="G1" s="7"/>
      <c r="H1" s="46" t="s">
        <v>24</v>
      </c>
      <c r="I1" s="46"/>
      <c r="J1" s="46"/>
      <c r="K1" s="46"/>
      <c r="L1" s="46"/>
      <c r="M1" s="45" t="s">
        <v>25</v>
      </c>
      <c r="N1" s="46"/>
      <c r="O1" s="46"/>
      <c r="P1" s="46"/>
      <c r="Q1" s="47"/>
      <c r="R1" s="46" t="s">
        <v>26</v>
      </c>
      <c r="S1" s="46"/>
      <c r="T1" s="46"/>
      <c r="U1" s="46"/>
      <c r="V1" s="46"/>
      <c r="W1" s="45" t="s">
        <v>27</v>
      </c>
      <c r="X1" s="46"/>
      <c r="Y1" s="46"/>
      <c r="Z1" s="46"/>
      <c r="AA1" s="47"/>
      <c r="AB1" s="46" t="s">
        <v>28</v>
      </c>
      <c r="AC1" s="46"/>
      <c r="AD1" s="46"/>
      <c r="AE1" s="46"/>
      <c r="AF1" s="46"/>
      <c r="AG1" s="45" t="s">
        <v>29</v>
      </c>
      <c r="AH1" s="46"/>
      <c r="AI1" s="46"/>
      <c r="AJ1" s="46"/>
      <c r="AK1" s="47"/>
      <c r="AL1" s="45" t="s">
        <v>30</v>
      </c>
      <c r="AM1" s="46"/>
      <c r="AN1" s="46"/>
      <c r="AO1" s="46"/>
      <c r="AP1" s="47"/>
      <c r="AQ1" s="46" t="s">
        <v>31</v>
      </c>
      <c r="AR1" s="46"/>
      <c r="AS1" s="46"/>
      <c r="AT1" s="46"/>
      <c r="AU1" s="46"/>
      <c r="AV1" s="45" t="s">
        <v>32</v>
      </c>
      <c r="AW1" s="46"/>
      <c r="AX1" s="46"/>
      <c r="AY1" s="46"/>
      <c r="AZ1" s="47"/>
      <c r="BA1" s="45"/>
      <c r="BB1" s="46"/>
      <c r="BC1" s="46"/>
      <c r="BD1" s="46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>
        <f ca="1">C1</f>
        <v>42518</v>
      </c>
      <c r="E3" s="9">
        <f>[1]DDE!$G$25</f>
        <v>1172.5</v>
      </c>
      <c r="F3" s="12">
        <f>犀利環球!F3</f>
        <v>1172.9000000000001</v>
      </c>
      <c r="G3" s="39">
        <f>犀利環球!G3</f>
        <v>1166.3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42518</v>
      </c>
      <c r="E4" s="9">
        <f>犀利環球!H4</f>
        <v>7718</v>
      </c>
      <c r="F4" s="9">
        <f>犀利環球!E4</f>
        <v>7705.9999999999991</v>
      </c>
      <c r="G4" s="13">
        <f>犀利環球!G4</f>
        <v>7681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42518</v>
      </c>
      <c r="E5" s="9">
        <f>犀利環球!H5</f>
        <v>15088.999999999998</v>
      </c>
      <c r="F5" s="9">
        <f>犀利環球!F5</f>
        <v>15089.999999999998</v>
      </c>
      <c r="G5" s="13">
        <f>犀利環球!G5</f>
        <v>15033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42518</v>
      </c>
      <c r="E6" s="9">
        <f>犀利環球!H6</f>
        <v>7936</v>
      </c>
      <c r="F6" s="9">
        <f>犀利環球!F6</f>
        <v>7941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42518</v>
      </c>
      <c r="E7" s="9">
        <f>犀利環球!H7</f>
        <v>10885</v>
      </c>
      <c r="F7" s="9">
        <f>犀利環球!F7</f>
        <v>10889</v>
      </c>
      <c r="G7" s="13">
        <f>犀利環球!G7</f>
        <v>10824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42518</v>
      </c>
      <c r="E8" s="9">
        <f>犀利環球!H8</f>
        <v>8279</v>
      </c>
      <c r="F8" s="9">
        <f>犀利環球!F8</f>
        <v>8291</v>
      </c>
      <c r="G8" s="13">
        <f>犀利環球!G8</f>
        <v>8255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42518</v>
      </c>
      <c r="E9" s="9">
        <f>犀利環球!H9</f>
        <v>10157</v>
      </c>
      <c r="F9" s="9">
        <f>犀利環球!F9</f>
        <v>10169</v>
      </c>
      <c r="G9" s="13">
        <f>犀利環球!G9</f>
        <v>10130.999999999998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42518</v>
      </c>
      <c r="E10" s="9">
        <f>犀利環球!H10</f>
        <v>49.67</v>
      </c>
      <c r="F10" s="9">
        <f>犀利環球!F10</f>
        <v>49.76</v>
      </c>
      <c r="G10" s="13">
        <f>犀利環球!G10</f>
        <v>49.32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42518</v>
      </c>
      <c r="E11" s="9">
        <f>犀利環球!H11</f>
        <v>97.465000000000003</v>
      </c>
      <c r="F11" s="9">
        <f>犀利環球!F11</f>
        <v>97.844999999999999</v>
      </c>
      <c r="G11" s="13">
        <f>犀利環球!G11</f>
        <v>97.444999999999993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/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B1:AF1"/>
    <mergeCell ref="A1:B1"/>
    <mergeCell ref="H1:L1"/>
    <mergeCell ref="M1:Q1"/>
    <mergeCell ref="R1:V1"/>
    <mergeCell ref="W1:AA1"/>
    <mergeCell ref="AG1:AK1"/>
    <mergeCell ref="AL1:AP1"/>
    <mergeCell ref="AQ1:AU1"/>
    <mergeCell ref="AV1:AZ1"/>
    <mergeCell ref="BA1:B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L11"/>
  <sheetViews>
    <sheetView zoomScaleNormal="100" workbookViewId="0">
      <selection activeCell="G17" sqref="G17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2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2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</row>
    <row r="3" spans="1:12" x14ac:dyDescent="0.25">
      <c r="B3" t="str">
        <f>[2]DDE!$B$25</f>
        <v>黃金201504</v>
      </c>
      <c r="C3" s="40">
        <f ca="1">主表!$C$1</f>
        <v>42518</v>
      </c>
      <c r="D3" s="38"/>
      <c r="E3" s="37">
        <f>[1]DDE!$M$25</f>
        <v>1169.5999999999999</v>
      </c>
      <c r="F3" s="37">
        <f>[1]DDE!$N$25</f>
        <v>1172.9000000000001</v>
      </c>
      <c r="G3" s="37">
        <f>[1]DDE!$O$25</f>
        <v>1166.3</v>
      </c>
      <c r="H3" s="35">
        <f>[1]DDE!$G$25</f>
        <v>1172.5</v>
      </c>
      <c r="I3" s="37">
        <f>[1]DDE!$H$25</f>
        <v>8.1999999999999993</v>
      </c>
      <c r="J3" s="34"/>
      <c r="K3">
        <f>[1]DDE!$J$25</f>
        <v>1</v>
      </c>
      <c r="L3" s="36">
        <f>[1]DDE!$K$25</f>
        <v>27869</v>
      </c>
    </row>
    <row r="4" spans="1:12" x14ac:dyDescent="0.25">
      <c r="B4" t="str">
        <f>[2]DDE!$B$29</f>
        <v>澳幣201503</v>
      </c>
      <c r="C4" s="40">
        <f ca="1">主表!$C$1</f>
        <v>42518</v>
      </c>
      <c r="D4" s="38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6">
        <f>[1]DDE!$G$29 *10000</f>
        <v>7718</v>
      </c>
      <c r="I4">
        <f>[1]DDE!$H$29 *10000</f>
        <v>0</v>
      </c>
      <c r="J4" s="34"/>
      <c r="K4">
        <f>[1]DDE!$J$29</f>
        <v>1</v>
      </c>
      <c r="L4" s="36">
        <f>[1]DDE!$K$29</f>
        <v>21317</v>
      </c>
    </row>
    <row r="5" spans="1:12" x14ac:dyDescent="0.25">
      <c r="B5" t="str">
        <f>[2]DDE!$B$30</f>
        <v>英鎊201503</v>
      </c>
      <c r="C5" s="40">
        <f ca="1">主表!$C$1</f>
        <v>42518</v>
      </c>
      <c r="D5" s="38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6">
        <f>[1]DDE!$G$30 *10000</f>
        <v>15088.999999999998</v>
      </c>
      <c r="I5">
        <f>[1]DDE!$H$30 *10000</f>
        <v>41</v>
      </c>
      <c r="J5" s="34"/>
      <c r="K5">
        <f>[1]DDE!$J$30</f>
        <v>3</v>
      </c>
      <c r="L5" s="36">
        <f>[1]DDE!$K$30</f>
        <v>15445</v>
      </c>
    </row>
    <row r="6" spans="1:12" x14ac:dyDescent="0.25">
      <c r="B6" t="str">
        <f>[2]DDE!$B$31</f>
        <v>加幣201503</v>
      </c>
      <c r="C6" s="40">
        <f ca="1">主表!$C$1</f>
        <v>42518</v>
      </c>
      <c r="D6" s="38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6">
        <f>[1]DDE!$G$31 *10000</f>
        <v>7936</v>
      </c>
      <c r="I6">
        <f>[1]DDE!$H$31 *10000</f>
        <v>8</v>
      </c>
      <c r="J6" s="34"/>
      <c r="K6">
        <f>[1]DDE!$J$31</f>
        <v>1</v>
      </c>
      <c r="L6" s="36">
        <f>[1]DDE!$K$31</f>
        <v>6662</v>
      </c>
    </row>
    <row r="7" spans="1:12" x14ac:dyDescent="0.25">
      <c r="B7" t="str">
        <f>[2]DDE!$B$32</f>
        <v>歐元201503</v>
      </c>
      <c r="C7" s="40">
        <f ca="1">主表!$C$1</f>
        <v>42518</v>
      </c>
      <c r="D7" s="38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6">
        <f>[1]DDE!$G$32 *10000</f>
        <v>10885</v>
      </c>
      <c r="I7">
        <f>[1]DDE!$H$32 *10000</f>
        <v>26</v>
      </c>
      <c r="J7" s="34"/>
      <c r="K7">
        <f>[1]DDE!$J$32</f>
        <v>1</v>
      </c>
      <c r="L7" s="36">
        <f>[1]DDE!$K$32</f>
        <v>34935</v>
      </c>
    </row>
    <row r="8" spans="1:12" x14ac:dyDescent="0.25">
      <c r="B8" t="str">
        <f>[2]DDE!$B$33</f>
        <v>日圓201503</v>
      </c>
      <c r="C8" s="40">
        <f ca="1">主表!$C$1</f>
        <v>42518</v>
      </c>
      <c r="D8" s="38"/>
      <c r="E8">
        <f>[1]DDE!$M$33 *1000000</f>
        <v>8278</v>
      </c>
      <c r="F8">
        <f>[1]DDE!$N$33 *1000000</f>
        <v>8291</v>
      </c>
      <c r="G8">
        <f>[1]DDE!$O$33 *1000000</f>
        <v>8255</v>
      </c>
      <c r="H8" s="36">
        <f>[1]DDE!$G$33 *1000000</f>
        <v>8279</v>
      </c>
      <c r="I8">
        <f>[1]DDE!$H$33 *1000000</f>
        <v>-7</v>
      </c>
      <c r="J8" s="34"/>
      <c r="K8">
        <f>[1]DDE!$J$33</f>
        <v>1</v>
      </c>
      <c r="L8" s="36">
        <f>[1]DDE!$K$33</f>
        <v>27822</v>
      </c>
    </row>
    <row r="9" spans="1:12" x14ac:dyDescent="0.25">
      <c r="B9" t="str">
        <f>[2]DDE!$B$34</f>
        <v>瑞郎201503</v>
      </c>
      <c r="C9" s="40">
        <f ca="1">主表!$C$1</f>
        <v>42518</v>
      </c>
      <c r="D9" s="38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6">
        <f>[1]DDE!$G$34 *10000</f>
        <v>10157</v>
      </c>
      <c r="I9">
        <f>[1]DDE!$H$34 *10000</f>
        <v>1</v>
      </c>
      <c r="J9" s="34"/>
      <c r="K9">
        <f>[1]DDE!$J$34</f>
        <v>2</v>
      </c>
      <c r="L9" s="36">
        <f>[1]DDE!$K$34</f>
        <v>4113</v>
      </c>
    </row>
    <row r="10" spans="1:12" x14ac:dyDescent="0.25">
      <c r="B10" t="str">
        <f>[2]DDE!$B$38</f>
        <v>輕原油201504</v>
      </c>
      <c r="C10" s="40">
        <f ca="1">主表!$C$1</f>
        <v>42518</v>
      </c>
      <c r="D10" s="38"/>
      <c r="E10" s="37">
        <f>[1]DDE!$M$38</f>
        <v>49.6</v>
      </c>
      <c r="F10">
        <f>[1]DDE!$N$38</f>
        <v>49.76</v>
      </c>
      <c r="G10">
        <f>[1]DDE!$O$38</f>
        <v>49.32</v>
      </c>
      <c r="H10" s="35">
        <f>[1]DDE!$G$38</f>
        <v>49.67</v>
      </c>
      <c r="I10">
        <f>[1]DDE!$H$38</f>
        <v>0.06</v>
      </c>
      <c r="J10" s="34"/>
      <c r="K10">
        <f>[1]DDE!$J$38</f>
        <v>1</v>
      </c>
      <c r="L10" s="36">
        <f>[1]DDE!$K$38</f>
        <v>11918</v>
      </c>
    </row>
    <row r="11" spans="1:12" x14ac:dyDescent="0.25">
      <c r="B11" t="str">
        <f>[2]DDE!$B$71</f>
        <v>美元指數201503</v>
      </c>
      <c r="C11" s="40">
        <f ca="1">主表!$C$1</f>
        <v>42518</v>
      </c>
      <c r="D11" s="38"/>
      <c r="E11" s="37">
        <f>[1]DDE!$M$71</f>
        <v>97.77</v>
      </c>
      <c r="F11">
        <f>[1]DDE!$N$71</f>
        <v>97.844999999999999</v>
      </c>
      <c r="G11">
        <f>[1]DDE!$O$71</f>
        <v>97.444999999999993</v>
      </c>
      <c r="H11" s="35">
        <f>[1]DDE!$G$71</f>
        <v>97.465000000000003</v>
      </c>
      <c r="I11">
        <f>[1]DDE!$H$71</f>
        <v>-0.13900000000000001</v>
      </c>
      <c r="J11" s="34"/>
      <c r="K11">
        <f>[1]DDE!$J$71</f>
        <v>1</v>
      </c>
      <c r="L11" s="36">
        <f>[1]DDE!$K$71</f>
        <v>6688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L10" sqref="L10"/>
    </sheetView>
  </sheetViews>
  <sheetFormatPr defaultRowHeight="16.5" x14ac:dyDescent="0.25"/>
  <cols>
    <col min="1" max="1" width="9" style="40"/>
  </cols>
  <sheetData>
    <row r="1" spans="1:3" x14ac:dyDescent="0.25">
      <c r="A1" s="40">
        <v>42069</v>
      </c>
      <c r="B1">
        <v>50400.94140625</v>
      </c>
      <c r="C1">
        <v>49779.359375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犀利環球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ASUS</cp:lastModifiedBy>
  <dcterms:created xsi:type="dcterms:W3CDTF">2015-02-18T05:15:07Z</dcterms:created>
  <dcterms:modified xsi:type="dcterms:W3CDTF">2016-05-28T10:13:20Z</dcterms:modified>
</cp:coreProperties>
</file>