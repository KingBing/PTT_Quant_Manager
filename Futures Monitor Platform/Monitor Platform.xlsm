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PTT_Quant_Manager\Futures Monitor Platform\"/>
    </mc:Choice>
  </mc:AlternateContent>
  <bookViews>
    <workbookView xWindow="600" yWindow="255" windowWidth="19320" windowHeight="7695"/>
  </bookViews>
  <sheets>
    <sheet name="主表" sheetId="2" r:id="rId1"/>
    <sheet name="犀利環球" sheetId="5" r:id="rId2"/>
    <sheet name="temp" sheetId="6" r:id="rId3"/>
  </sheets>
  <externalReferences>
    <externalReference r:id="rId4"/>
    <externalReference r:id="rId5"/>
  </externalReferences>
  <calcPr calcId="152511" refMode="R1C1"/>
</workbook>
</file>

<file path=xl/calcChain.xml><?xml version="1.0" encoding="utf-8"?>
<calcChain xmlns="http://schemas.openxmlformats.org/spreadsheetml/2006/main">
  <c r="B11" i="5" l="1"/>
  <c r="B3" i="5"/>
  <c r="B4" i="5"/>
  <c r="B5" i="5"/>
  <c r="B6" i="5"/>
  <c r="B7" i="5"/>
  <c r="B8" i="5"/>
  <c r="B9" i="5"/>
  <c r="B10" i="5"/>
  <c r="C1" i="2" l="1"/>
  <c r="C10" i="2" l="1"/>
  <c r="C11" i="2"/>
  <c r="C8" i="2"/>
  <c r="C9" i="2"/>
  <c r="C6" i="2"/>
  <c r="C7" i="2"/>
  <c r="C4" i="2"/>
  <c r="C5" i="2"/>
  <c r="C3" i="5"/>
  <c r="C7" i="5"/>
  <c r="C11" i="5"/>
  <c r="C4" i="5"/>
  <c r="C8" i="5"/>
  <c r="C5" i="5"/>
  <c r="C9" i="5"/>
  <c r="C6" i="5"/>
  <c r="C10" i="5"/>
  <c r="C3" i="2"/>
  <c r="H11" i="5" l="1"/>
  <c r="E11" i="2" s="1"/>
  <c r="I11" i="5"/>
  <c r="K11" i="5"/>
  <c r="L11" i="5"/>
  <c r="E11" i="5"/>
  <c r="F11" i="5"/>
  <c r="F11" i="2" s="1"/>
  <c r="G11" i="5"/>
  <c r="G11" i="2" s="1"/>
  <c r="H3" i="5"/>
  <c r="I3" i="5"/>
  <c r="K3" i="5"/>
  <c r="L3" i="5"/>
  <c r="E3" i="5"/>
  <c r="F3" i="5"/>
  <c r="G3" i="5"/>
  <c r="H4" i="5"/>
  <c r="I4" i="5"/>
  <c r="K4" i="5"/>
  <c r="L4" i="5"/>
  <c r="E4" i="5"/>
  <c r="F4" i="5"/>
  <c r="G4" i="5"/>
  <c r="H5" i="5"/>
  <c r="I5" i="5"/>
  <c r="K5" i="5"/>
  <c r="L5" i="5"/>
  <c r="E5" i="5"/>
  <c r="F5" i="5"/>
  <c r="G5" i="5"/>
  <c r="H6" i="5"/>
  <c r="I6" i="5"/>
  <c r="K6" i="5"/>
  <c r="L6" i="5"/>
  <c r="E6" i="5"/>
  <c r="F6" i="5"/>
  <c r="G6" i="5"/>
  <c r="H7" i="5"/>
  <c r="I7" i="5"/>
  <c r="K7" i="5"/>
  <c r="L7" i="5"/>
  <c r="E7" i="5"/>
  <c r="F7" i="5"/>
  <c r="G7" i="5"/>
  <c r="H8" i="5"/>
  <c r="I8" i="5"/>
  <c r="K8" i="5"/>
  <c r="L8" i="5"/>
  <c r="E8" i="5"/>
  <c r="F8" i="5"/>
  <c r="G8" i="5"/>
  <c r="H9" i="5"/>
  <c r="E9" i="2" s="1"/>
  <c r="I9" i="5"/>
  <c r="K9" i="5"/>
  <c r="L9" i="5"/>
  <c r="E9" i="5"/>
  <c r="F9" i="5"/>
  <c r="F9" i="2" s="1"/>
  <c r="G9" i="5"/>
  <c r="G9" i="2" s="1"/>
  <c r="H10" i="5"/>
  <c r="E10" i="2" s="1"/>
  <c r="I10" i="5"/>
  <c r="K10" i="5"/>
  <c r="L10" i="5"/>
  <c r="E10" i="5"/>
  <c r="F10" i="5"/>
  <c r="F10" i="2" s="1"/>
  <c r="G10" i="5"/>
  <c r="G10" i="2" s="1"/>
  <c r="G5" i="2" l="1"/>
  <c r="F5" i="2"/>
  <c r="G8" i="2"/>
  <c r="G4" i="2"/>
  <c r="E8" i="2"/>
  <c r="E4" i="2"/>
  <c r="F8" i="2"/>
  <c r="F4" i="2"/>
  <c r="F7" i="2"/>
  <c r="G7" i="2"/>
  <c r="E7" i="2"/>
  <c r="E5" i="2"/>
  <c r="E6" i="2"/>
  <c r="F6" i="2"/>
  <c r="G3" i="2"/>
  <c r="F3" i="2"/>
  <c r="E3" i="2"/>
</calcChain>
</file>

<file path=xl/sharedStrings.xml><?xml version="1.0" encoding="utf-8"?>
<sst xmlns="http://schemas.openxmlformats.org/spreadsheetml/2006/main" count="108" uniqueCount="68">
  <si>
    <t>代碼</t>
  </si>
  <si>
    <t>商品</t>
  </si>
  <si>
    <t>交易日期</t>
  </si>
  <si>
    <t>時間</t>
  </si>
  <si>
    <t>開盤</t>
  </si>
  <si>
    <t>最高</t>
  </si>
  <si>
    <t>最低</t>
  </si>
  <si>
    <t>成交</t>
  </si>
  <si>
    <t>漲跌</t>
  </si>
  <si>
    <t>漲幅%</t>
  </si>
  <si>
    <t>單量</t>
  </si>
  <si>
    <t>總量</t>
  </si>
  <si>
    <t>Name</t>
    <phoneticPr fontId="1" type="noConversion"/>
  </si>
  <si>
    <t>TradingDate</t>
  </si>
  <si>
    <t>Time</t>
  </si>
  <si>
    <t>Open</t>
  </si>
  <si>
    <t>High</t>
  </si>
  <si>
    <t>Low</t>
  </si>
  <si>
    <t>Price</t>
  </si>
  <si>
    <t>PriceChange</t>
  </si>
  <si>
    <t>PriceChangeRatio</t>
  </si>
  <si>
    <t>Volume</t>
  </si>
  <si>
    <t>TotalVolume</t>
  </si>
  <si>
    <t>目前日期為:</t>
    <phoneticPr fontId="6" type="noConversion"/>
  </si>
  <si>
    <t>3-Days</t>
    <phoneticPr fontId="6" type="noConversion"/>
  </si>
  <si>
    <t>1-Week(5 business days)</t>
    <phoneticPr fontId="6" type="noConversion"/>
  </si>
  <si>
    <t>2-Weeks(10 business days)</t>
    <phoneticPr fontId="6" type="noConversion"/>
  </si>
  <si>
    <t>1-Month</t>
    <phoneticPr fontId="6" type="noConversion"/>
  </si>
  <si>
    <t>2-Months</t>
    <phoneticPr fontId="6" type="noConversion"/>
  </si>
  <si>
    <t>1-Quarter</t>
    <phoneticPr fontId="6" type="noConversion"/>
  </si>
  <si>
    <t>2-Quarters</t>
    <phoneticPr fontId="6" type="noConversion"/>
  </si>
  <si>
    <t>1-Year</t>
    <phoneticPr fontId="6" type="noConversion"/>
  </si>
  <si>
    <t>2-Years</t>
    <phoneticPr fontId="6" type="noConversion"/>
  </si>
  <si>
    <t>FROM</t>
    <phoneticPr fontId="6" type="noConversion"/>
  </si>
  <si>
    <t>代碼</t>
    <phoneticPr fontId="6" type="noConversion"/>
  </si>
  <si>
    <t>商品</t>
    <phoneticPr fontId="6" type="noConversion"/>
  </si>
  <si>
    <t>交易日期</t>
    <phoneticPr fontId="6" type="noConversion"/>
  </si>
  <si>
    <t>時間</t>
    <phoneticPr fontId="6" type="noConversion"/>
  </si>
  <si>
    <t>成交</t>
    <phoneticPr fontId="6" type="noConversion"/>
  </si>
  <si>
    <t>當日最高</t>
    <phoneticPr fontId="6" type="noConversion"/>
  </si>
  <si>
    <t>當日最低</t>
    <phoneticPr fontId="6" type="noConversion"/>
  </si>
  <si>
    <t>起算日期</t>
    <phoneticPr fontId="6" type="noConversion"/>
  </si>
  <si>
    <t>最高</t>
    <phoneticPr fontId="6" type="noConversion"/>
  </si>
  <si>
    <t>最高日</t>
    <phoneticPr fontId="6" type="noConversion"/>
  </si>
  <si>
    <t>最低</t>
    <phoneticPr fontId="6" type="noConversion"/>
  </si>
  <si>
    <t>最低日</t>
    <phoneticPr fontId="6" type="noConversion"/>
  </si>
  <si>
    <t>歷史最高</t>
  </si>
  <si>
    <t>最高日</t>
  </si>
  <si>
    <t>歷史最低</t>
  </si>
  <si>
    <t>最低日</t>
  </si>
  <si>
    <t>CMX_GC</t>
  </si>
  <si>
    <t>黃金期貨</t>
    <phoneticPr fontId="1" type="noConversion"/>
  </si>
  <si>
    <t>Aus_Doller</t>
  </si>
  <si>
    <t>澳幣期貨</t>
    <phoneticPr fontId="1" type="noConversion"/>
  </si>
  <si>
    <t>BRIT_POUND</t>
  </si>
  <si>
    <t>英鎊期貨</t>
    <phoneticPr fontId="1" type="noConversion"/>
  </si>
  <si>
    <t>加幣期貨</t>
    <phoneticPr fontId="1" type="noConversion"/>
  </si>
  <si>
    <t>CD_Dollar</t>
  </si>
  <si>
    <t>EURO_FX</t>
  </si>
  <si>
    <t xml:space="preserve"> 歐元期貨</t>
    <phoneticPr fontId="1" type="noConversion"/>
  </si>
  <si>
    <t>J_Yen</t>
  </si>
  <si>
    <t>日元期貨</t>
    <phoneticPr fontId="1" type="noConversion"/>
  </si>
  <si>
    <t>S_F</t>
  </si>
  <si>
    <t>瑞郎期貨</t>
    <phoneticPr fontId="1" type="noConversion"/>
  </si>
  <si>
    <t>NY_PYS_CR</t>
  </si>
  <si>
    <t>輕原油期貨</t>
    <phoneticPr fontId="1" type="noConversion"/>
  </si>
  <si>
    <t>NYB_DX_F</t>
  </si>
  <si>
    <t>美元指數期貨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</si>
</sst>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0_ ;[Red]\-0.0000\ "/>
    <numFmt numFmtId="177" formatCode="h:mm:ss;@"/>
    <numFmt numFmtId="178" formatCode="yyyymmdd"/>
    <numFmt numFmtId="179" formatCode="0.00_);[Red]\(0.00\)"/>
    <numFmt numFmtId="180" formatCode="0_);[Red]\(0\)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1" xfId="1" applyNumberFormat="1" applyBorder="1" applyAlignment="1">
      <alignment horizontal="center"/>
    </xf>
    <xf numFmtId="177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2" xfId="1" applyBorder="1" applyAlignment="1">
      <alignment horizontal="center"/>
    </xf>
    <xf numFmtId="0" fontId="7" fillId="0" borderId="3" xfId="1" applyFont="1" applyBorder="1" applyAlignment="1"/>
    <xf numFmtId="0" fontId="5" fillId="0" borderId="0" xfId="1" applyBorder="1" applyAlignment="1">
      <alignment horizontal="center"/>
    </xf>
    <xf numFmtId="0" fontId="10" fillId="0" borderId="0" xfId="1" applyFont="1" applyBorder="1" applyAlignment="1">
      <alignment horizontal="center"/>
    </xf>
    <xf numFmtId="14" fontId="5" fillId="0" borderId="0" xfId="1" applyNumberFormat="1" applyBorder="1" applyAlignment="1">
      <alignment horizontal="center"/>
    </xf>
    <xf numFmtId="2" fontId="5" fillId="0" borderId="0" xfId="1" applyNumberFormat="1" applyBorder="1" applyAlignment="1">
      <alignment horizontal="center"/>
    </xf>
    <xf numFmtId="0" fontId="5" fillId="0" borderId="4" xfId="1" applyBorder="1" applyAlignment="1">
      <alignment horizontal="center"/>
    </xf>
    <xf numFmtId="14" fontId="5" fillId="0" borderId="5" xfId="1" applyNumberFormat="1" applyBorder="1" applyAlignment="1">
      <alignment horizontal="center"/>
    </xf>
    <xf numFmtId="14" fontId="5" fillId="0" borderId="4" xfId="1" applyNumberFormat="1" applyBorder="1" applyAlignment="1">
      <alignment horizontal="center"/>
    </xf>
    <xf numFmtId="14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178" fontId="5" fillId="0" borderId="0" xfId="1" applyNumberFormat="1" applyBorder="1" applyAlignment="1">
      <alignment horizontal="center"/>
    </xf>
    <xf numFmtId="0" fontId="5" fillId="0" borderId="5" xfId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178" fontId="8" fillId="4" borderId="6" xfId="1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178" fontId="8" fillId="5" borderId="8" xfId="1" applyNumberFormat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178" fontId="8" fillId="5" borderId="6" xfId="1" applyNumberFormat="1" applyFont="1" applyFill="1" applyBorder="1" applyAlignment="1">
      <alignment horizontal="center" vertical="center"/>
    </xf>
    <xf numFmtId="178" fontId="8" fillId="4" borderId="8" xfId="1" applyNumberFormat="1" applyFont="1" applyFill="1" applyBorder="1" applyAlignment="1">
      <alignment horizontal="center" vertical="center"/>
    </xf>
    <xf numFmtId="0" fontId="8" fillId="5" borderId="8" xfId="1" applyFont="1" applyFill="1" applyBorder="1" applyAlignment="1">
      <alignment horizontal="center" vertical="center"/>
    </xf>
    <xf numFmtId="0" fontId="5" fillId="0" borderId="6" xfId="1" applyBorder="1" applyAlignment="1">
      <alignment horizontal="center"/>
    </xf>
    <xf numFmtId="14" fontId="0" fillId="0" borderId="0" xfId="6" applyNumberFormat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2" fontId="5" fillId="0" borderId="4" xfId="1" applyNumberFormat="1" applyBorder="1" applyAlignment="1">
      <alignment horizontal="center"/>
    </xf>
    <xf numFmtId="1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0" fontId="7" fillId="0" borderId="1" xfId="1" applyFont="1" applyBorder="1" applyAlignment="1">
      <alignment horizont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2" xfId="1" applyFont="1" applyBorder="1" applyAlignment="1">
      <alignment horizontal="center"/>
    </xf>
  </cellXfs>
  <cellStyles count="7">
    <cellStyle name="一般" xfId="0" builtinId="0"/>
    <cellStyle name="一般 2" xfId="1"/>
    <cellStyle name="一般 3" xfId="2"/>
    <cellStyle name="一般 4" xfId="3"/>
    <cellStyle name="一般 5" xfId="4"/>
    <cellStyle name="一般 6" xfId="5"/>
    <cellStyle name="百分比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312;&#21033;&#29872;&#29699;D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FUBON\&#26700;&#38754;\&#29312;&#21033;&#29872;&#29699;DD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G25">
            <v>1172.5</v>
          </cell>
          <cell r="H25">
            <v>8.1999999999999993</v>
          </cell>
          <cell r="J25">
            <v>1</v>
          </cell>
          <cell r="K25">
            <v>27869</v>
          </cell>
          <cell r="M25">
            <v>1169.5999999999999</v>
          </cell>
          <cell r="N25">
            <v>1172.9000000000001</v>
          </cell>
          <cell r="O25">
            <v>1166.3</v>
          </cell>
        </row>
        <row r="29">
          <cell r="G29">
            <v>0.77180000000000004</v>
          </cell>
          <cell r="H29">
            <v>0</v>
          </cell>
          <cell r="J29">
            <v>1</v>
          </cell>
          <cell r="K29">
            <v>21317</v>
          </cell>
          <cell r="M29">
            <v>0.77059999999999995</v>
          </cell>
          <cell r="N29">
            <v>0.77239999999999998</v>
          </cell>
          <cell r="O29">
            <v>0.7681</v>
          </cell>
        </row>
        <row r="30">
          <cell r="G30">
            <v>1.5088999999999999</v>
          </cell>
          <cell r="H30">
            <v>4.1000000000000003E-3</v>
          </cell>
          <cell r="J30">
            <v>3</v>
          </cell>
          <cell r="K30">
            <v>15445</v>
          </cell>
          <cell r="M30">
            <v>1.5042</v>
          </cell>
          <cell r="N30">
            <v>1.5089999999999999</v>
          </cell>
          <cell r="O30">
            <v>1.5033000000000001</v>
          </cell>
        </row>
        <row r="31">
          <cell r="G31">
            <v>0.79359999999999997</v>
          </cell>
          <cell r="H31">
            <v>8.0000000000000004E-4</v>
          </cell>
          <cell r="J31">
            <v>1</v>
          </cell>
          <cell r="K31">
            <v>6662</v>
          </cell>
          <cell r="M31">
            <v>0.79220000000000002</v>
          </cell>
          <cell r="N31">
            <v>0.79410000000000003</v>
          </cell>
          <cell r="O31">
            <v>0.79179999999999995</v>
          </cell>
        </row>
        <row r="32">
          <cell r="G32">
            <v>1.0885</v>
          </cell>
          <cell r="H32">
            <v>2.5999999999999999E-3</v>
          </cell>
          <cell r="J32">
            <v>1</v>
          </cell>
          <cell r="K32">
            <v>34935</v>
          </cell>
          <cell r="M32">
            <v>1.0835999999999999</v>
          </cell>
          <cell r="N32">
            <v>1.0889</v>
          </cell>
          <cell r="O32">
            <v>1.0824</v>
          </cell>
        </row>
        <row r="33">
          <cell r="G33">
            <v>8.2789999999999999E-3</v>
          </cell>
          <cell r="H33">
            <v>-6.9999999999999999E-6</v>
          </cell>
          <cell r="J33">
            <v>1</v>
          </cell>
          <cell r="K33">
            <v>27822</v>
          </cell>
          <cell r="M33">
            <v>8.2780000000000006E-3</v>
          </cell>
          <cell r="N33">
            <v>8.2909999999999998E-3</v>
          </cell>
          <cell r="O33">
            <v>8.2550000000000002E-3</v>
          </cell>
        </row>
        <row r="34">
          <cell r="G34">
            <v>1.0157</v>
          </cell>
          <cell r="H34">
            <v>1E-4</v>
          </cell>
          <cell r="J34">
            <v>2</v>
          </cell>
          <cell r="K34">
            <v>4113</v>
          </cell>
          <cell r="M34">
            <v>1.0130999999999999</v>
          </cell>
          <cell r="N34">
            <v>1.0168999999999999</v>
          </cell>
          <cell r="O34">
            <v>1.0130999999999999</v>
          </cell>
        </row>
        <row r="38">
          <cell r="G38">
            <v>49.67</v>
          </cell>
          <cell r="H38">
            <v>0.06</v>
          </cell>
          <cell r="J38">
            <v>1</v>
          </cell>
          <cell r="K38">
            <v>11918</v>
          </cell>
          <cell r="M38">
            <v>49.6</v>
          </cell>
          <cell r="N38">
            <v>49.76</v>
          </cell>
          <cell r="O38">
            <v>49.32</v>
          </cell>
        </row>
        <row r="71">
          <cell r="G71">
            <v>97.465000000000003</v>
          </cell>
          <cell r="H71">
            <v>-0.13900000000000001</v>
          </cell>
          <cell r="J71">
            <v>1</v>
          </cell>
          <cell r="K71">
            <v>6688</v>
          </cell>
          <cell r="M71">
            <v>97.77</v>
          </cell>
          <cell r="N71">
            <v>97.844999999999999</v>
          </cell>
          <cell r="O71">
            <v>97.444999999999993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B25" t="str">
            <v>黃金201504</v>
          </cell>
        </row>
        <row r="29">
          <cell r="B29" t="str">
            <v>澳幣201503</v>
          </cell>
        </row>
        <row r="30">
          <cell r="B30" t="str">
            <v>英鎊201503</v>
          </cell>
        </row>
        <row r="31">
          <cell r="B31" t="str">
            <v>加幣201503</v>
          </cell>
        </row>
        <row r="32">
          <cell r="B32" t="str">
            <v>歐元201503</v>
          </cell>
        </row>
        <row r="33">
          <cell r="B33" t="str">
            <v>日圓201503</v>
          </cell>
        </row>
        <row r="34">
          <cell r="B34" t="str">
            <v>瑞郎201503</v>
          </cell>
        </row>
        <row r="38">
          <cell r="B38" t="str">
            <v>輕原油201504</v>
          </cell>
        </row>
        <row r="71">
          <cell r="B71" t="str">
            <v>美元指數201503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833"/>
  <sheetViews>
    <sheetView tabSelected="1" zoomScale="80" zoomScaleNormal="80" workbookViewId="0">
      <pane ySplit="2" topLeftCell="A3" activePane="bottomLeft" state="frozenSplit"/>
      <selection activeCell="AI92" sqref="AI92"/>
      <selection pane="bottomLeft" activeCell="A4" sqref="A4"/>
    </sheetView>
  </sheetViews>
  <sheetFormatPr defaultRowHeight="16.5" x14ac:dyDescent="0.25"/>
  <cols>
    <col min="1" max="1" width="13.75" style="9" bestFit="1" customWidth="1"/>
    <col min="2" max="2" width="34.625" style="10" customWidth="1"/>
    <col min="3" max="3" width="12.25" style="9" bestFit="1" customWidth="1"/>
    <col min="4" max="4" width="15" style="9" bestFit="1" customWidth="1"/>
    <col min="5" max="5" width="9.5" style="9" bestFit="1" customWidth="1"/>
    <col min="6" max="6" width="10" style="9" bestFit="1" customWidth="1"/>
    <col min="7" max="7" width="10" style="13" bestFit="1" customWidth="1"/>
    <col min="8" max="8" width="10" style="18" customWidth="1"/>
    <col min="9" max="9" width="8" style="9" customWidth="1"/>
    <col min="10" max="10" width="10.5" style="9" customWidth="1"/>
    <col min="11" max="11" width="8" style="9" customWidth="1"/>
    <col min="12" max="12" width="9.5" style="9" customWidth="1"/>
    <col min="13" max="13" width="10.5" style="19" customWidth="1"/>
    <col min="14" max="14" width="8" style="9" customWidth="1"/>
    <col min="15" max="15" width="12.25" style="9" customWidth="1"/>
    <col min="16" max="16" width="8" style="9" customWidth="1"/>
    <col min="17" max="17" width="12.25" style="13" customWidth="1"/>
    <col min="18" max="18" width="12.25" style="9" customWidth="1"/>
    <col min="19" max="19" width="8" style="9" customWidth="1"/>
    <col min="20" max="20" width="12.25" style="9" customWidth="1"/>
    <col min="21" max="21" width="8" style="9" customWidth="1"/>
    <col min="22" max="22" width="12.25" style="9" customWidth="1"/>
    <col min="23" max="23" width="12.25" style="19" customWidth="1"/>
    <col min="24" max="24" width="8.5" style="9" customWidth="1"/>
    <col min="25" max="25" width="12.25" style="9" customWidth="1"/>
    <col min="26" max="26" width="8.5" style="9" customWidth="1"/>
    <col min="27" max="27" width="12.25" style="13" customWidth="1"/>
    <col min="28" max="28" width="10" style="9" customWidth="1"/>
    <col min="29" max="29" width="8.5" style="9" customWidth="1"/>
    <col min="30" max="30" width="12.25" style="9" customWidth="1"/>
    <col min="31" max="31" width="8.5" style="9" customWidth="1"/>
    <col min="32" max="32" width="12.25" style="9" customWidth="1"/>
    <col min="33" max="33" width="10" style="19" customWidth="1"/>
    <col min="34" max="34" width="8.5" style="9" customWidth="1"/>
    <col min="35" max="35" width="12.25" style="9" bestFit="1" customWidth="1"/>
    <col min="36" max="36" width="8.5" style="9" customWidth="1"/>
    <col min="37" max="37" width="12.25" style="13" bestFit="1" customWidth="1"/>
    <col min="38" max="38" width="10" style="9" customWidth="1"/>
    <col min="39" max="39" width="8.5" style="9" customWidth="1"/>
    <col min="40" max="40" width="12.25" style="9" bestFit="1" customWidth="1"/>
    <col min="41" max="41" width="8.5" style="9" customWidth="1"/>
    <col min="42" max="42" width="12.25" style="13" bestFit="1" customWidth="1"/>
    <col min="43" max="43" width="10" style="9" customWidth="1"/>
    <col min="44" max="44" width="8.5" style="9" customWidth="1"/>
    <col min="45" max="45" width="12.25" style="9" bestFit="1" customWidth="1"/>
    <col min="46" max="46" width="8.5" style="9" customWidth="1"/>
    <col min="47" max="47" width="12.25" style="9" bestFit="1" customWidth="1"/>
    <col min="48" max="48" width="10" style="19" customWidth="1"/>
    <col min="49" max="49" width="9" style="9" bestFit="1" customWidth="1"/>
    <col min="50" max="50" width="12.25" style="9" bestFit="1" customWidth="1"/>
    <col min="51" max="51" width="11.125" style="9" bestFit="1" customWidth="1"/>
    <col min="52" max="52" width="12.25" style="13" bestFit="1" customWidth="1"/>
    <col min="53" max="53" width="10" style="9" customWidth="1"/>
    <col min="54" max="54" width="12.25" style="9" bestFit="1" customWidth="1"/>
    <col min="55" max="55" width="10" style="9" customWidth="1"/>
    <col min="56" max="56" width="12.25" style="13" bestFit="1" customWidth="1"/>
    <col min="57" max="57" width="12.25" style="17" bestFit="1" customWidth="1"/>
    <col min="58" max="16384" width="9" style="17"/>
  </cols>
  <sheetData>
    <row r="1" spans="1:57" s="6" customFormat="1" ht="19.5" x14ac:dyDescent="0.3">
      <c r="A1" s="46" t="s">
        <v>23</v>
      </c>
      <c r="B1" s="47"/>
      <c r="C1" s="4">
        <f ca="1">TODAY()</f>
        <v>42530</v>
      </c>
      <c r="D1" s="5"/>
      <c r="G1" s="7"/>
      <c r="H1" s="45" t="s">
        <v>24</v>
      </c>
      <c r="I1" s="45"/>
      <c r="J1" s="45"/>
      <c r="K1" s="45"/>
      <c r="L1" s="45"/>
      <c r="M1" s="48" t="s">
        <v>25</v>
      </c>
      <c r="N1" s="45"/>
      <c r="O1" s="45"/>
      <c r="P1" s="45"/>
      <c r="Q1" s="49"/>
      <c r="R1" s="45" t="s">
        <v>26</v>
      </c>
      <c r="S1" s="45"/>
      <c r="T1" s="45"/>
      <c r="U1" s="45"/>
      <c r="V1" s="45"/>
      <c r="W1" s="48" t="s">
        <v>27</v>
      </c>
      <c r="X1" s="45"/>
      <c r="Y1" s="45"/>
      <c r="Z1" s="45"/>
      <c r="AA1" s="49"/>
      <c r="AB1" s="45" t="s">
        <v>28</v>
      </c>
      <c r="AC1" s="45"/>
      <c r="AD1" s="45"/>
      <c r="AE1" s="45"/>
      <c r="AF1" s="45"/>
      <c r="AG1" s="48" t="s">
        <v>29</v>
      </c>
      <c r="AH1" s="45"/>
      <c r="AI1" s="45"/>
      <c r="AJ1" s="45"/>
      <c r="AK1" s="49"/>
      <c r="AL1" s="48" t="s">
        <v>30</v>
      </c>
      <c r="AM1" s="45"/>
      <c r="AN1" s="45"/>
      <c r="AO1" s="45"/>
      <c r="AP1" s="49"/>
      <c r="AQ1" s="45" t="s">
        <v>31</v>
      </c>
      <c r="AR1" s="45"/>
      <c r="AS1" s="45"/>
      <c r="AT1" s="45"/>
      <c r="AU1" s="45"/>
      <c r="AV1" s="48" t="s">
        <v>32</v>
      </c>
      <c r="AW1" s="45"/>
      <c r="AX1" s="45"/>
      <c r="AY1" s="45"/>
      <c r="AZ1" s="49"/>
      <c r="BA1" s="48"/>
      <c r="BB1" s="45"/>
      <c r="BC1" s="45"/>
      <c r="BD1" s="45"/>
      <c r="BE1" s="8" t="s">
        <v>33</v>
      </c>
    </row>
    <row r="2" spans="1:57" s="33" customFormat="1" ht="17.25" thickBot="1" x14ac:dyDescent="0.3">
      <c r="A2" s="21" t="s">
        <v>34</v>
      </c>
      <c r="B2" s="22" t="s">
        <v>35</v>
      </c>
      <c r="C2" s="21" t="s">
        <v>36</v>
      </c>
      <c r="D2" s="21" t="s">
        <v>37</v>
      </c>
      <c r="E2" s="21" t="s">
        <v>38</v>
      </c>
      <c r="F2" s="21" t="s">
        <v>39</v>
      </c>
      <c r="G2" s="23" t="s">
        <v>40</v>
      </c>
      <c r="H2" s="24" t="s">
        <v>41</v>
      </c>
      <c r="I2" s="25" t="s">
        <v>42</v>
      </c>
      <c r="J2" s="25" t="s">
        <v>43</v>
      </c>
      <c r="K2" s="25" t="s">
        <v>44</v>
      </c>
      <c r="L2" s="25" t="s">
        <v>45</v>
      </c>
      <c r="M2" s="26" t="s">
        <v>41</v>
      </c>
      <c r="N2" s="27" t="s">
        <v>42</v>
      </c>
      <c r="O2" s="27" t="s">
        <v>43</v>
      </c>
      <c r="P2" s="27" t="s">
        <v>44</v>
      </c>
      <c r="Q2" s="28" t="s">
        <v>45</v>
      </c>
      <c r="R2" s="24" t="s">
        <v>41</v>
      </c>
      <c r="S2" s="25" t="s">
        <v>42</v>
      </c>
      <c r="T2" s="25" t="s">
        <v>43</v>
      </c>
      <c r="U2" s="25" t="s">
        <v>44</v>
      </c>
      <c r="V2" s="25" t="s">
        <v>45</v>
      </c>
      <c r="W2" s="26" t="s">
        <v>41</v>
      </c>
      <c r="X2" s="27" t="s">
        <v>42</v>
      </c>
      <c r="Y2" s="27" t="s">
        <v>43</v>
      </c>
      <c r="Z2" s="27" t="s">
        <v>44</v>
      </c>
      <c r="AA2" s="28" t="s">
        <v>45</v>
      </c>
      <c r="AB2" s="24" t="s">
        <v>41</v>
      </c>
      <c r="AC2" s="25" t="s">
        <v>42</v>
      </c>
      <c r="AD2" s="25" t="s">
        <v>43</v>
      </c>
      <c r="AE2" s="25" t="s">
        <v>44</v>
      </c>
      <c r="AF2" s="25" t="s">
        <v>45</v>
      </c>
      <c r="AG2" s="26" t="s">
        <v>41</v>
      </c>
      <c r="AH2" s="27" t="s">
        <v>42</v>
      </c>
      <c r="AI2" s="27" t="s">
        <v>43</v>
      </c>
      <c r="AJ2" s="27" t="s">
        <v>44</v>
      </c>
      <c r="AK2" s="28" t="s">
        <v>45</v>
      </c>
      <c r="AL2" s="24" t="s">
        <v>41</v>
      </c>
      <c r="AM2" s="25" t="s">
        <v>42</v>
      </c>
      <c r="AN2" s="25" t="s">
        <v>43</v>
      </c>
      <c r="AO2" s="25" t="s">
        <v>44</v>
      </c>
      <c r="AP2" s="29" t="s">
        <v>45</v>
      </c>
      <c r="AQ2" s="30" t="s">
        <v>41</v>
      </c>
      <c r="AR2" s="27" t="s">
        <v>42</v>
      </c>
      <c r="AS2" s="27" t="s">
        <v>43</v>
      </c>
      <c r="AT2" s="27" t="s">
        <v>44</v>
      </c>
      <c r="AU2" s="27" t="s">
        <v>45</v>
      </c>
      <c r="AV2" s="31" t="s">
        <v>41</v>
      </c>
      <c r="AW2" s="25" t="s">
        <v>42</v>
      </c>
      <c r="AX2" s="25" t="s">
        <v>43</v>
      </c>
      <c r="AY2" s="25" t="s">
        <v>44</v>
      </c>
      <c r="AZ2" s="29" t="s">
        <v>45</v>
      </c>
      <c r="BA2" s="32" t="s">
        <v>46</v>
      </c>
      <c r="BB2" s="27" t="s">
        <v>47</v>
      </c>
      <c r="BC2" s="27" t="s">
        <v>48</v>
      </c>
      <c r="BD2" s="28" t="s">
        <v>49</v>
      </c>
      <c r="BE2" s="25"/>
    </row>
    <row r="3" spans="1:57" ht="17.25" thickTop="1" x14ac:dyDescent="0.25">
      <c r="A3" s="11" t="s">
        <v>50</v>
      </c>
      <c r="B3" s="10" t="s">
        <v>51</v>
      </c>
      <c r="C3" s="11">
        <f ca="1">C1</f>
        <v>42530</v>
      </c>
      <c r="E3" s="9">
        <f>[1]DDE!$G$25</f>
        <v>1172.5</v>
      </c>
      <c r="F3" s="12">
        <f>犀利環球!F3</f>
        <v>1172.9000000000001</v>
      </c>
      <c r="G3" s="39">
        <f>犀利環球!G3</f>
        <v>1166.3</v>
      </c>
      <c r="H3" s="11">
        <v>42068</v>
      </c>
      <c r="I3" s="9">
        <v>1205.4000244140625</v>
      </c>
      <c r="J3" s="11">
        <v>42068</v>
      </c>
      <c r="K3" s="9">
        <v>1163.699951171875</v>
      </c>
      <c r="L3" s="11">
        <v>42069</v>
      </c>
      <c r="M3" s="14">
        <v>42066</v>
      </c>
      <c r="N3" s="9">
        <v>1212</v>
      </c>
      <c r="O3" s="11">
        <v>42066</v>
      </c>
      <c r="P3" s="9">
        <v>1163.699951171875</v>
      </c>
      <c r="Q3" s="15">
        <v>42069</v>
      </c>
      <c r="R3" s="11">
        <v>42059</v>
      </c>
      <c r="S3" s="9">
        <v>1222.699951171875</v>
      </c>
      <c r="T3" s="11">
        <v>42065</v>
      </c>
      <c r="U3" s="9">
        <v>1163.699951171875</v>
      </c>
      <c r="V3" s="11">
        <v>42069</v>
      </c>
      <c r="W3" s="14">
        <v>42045</v>
      </c>
      <c r="X3" s="9">
        <v>1245</v>
      </c>
      <c r="Y3" s="11">
        <v>42045</v>
      </c>
      <c r="Z3" s="9">
        <v>1163.699951171875</v>
      </c>
      <c r="AA3" s="15">
        <v>42069</v>
      </c>
      <c r="AB3" s="11">
        <v>42016</v>
      </c>
      <c r="AC3" s="9">
        <v>1303.5</v>
      </c>
      <c r="AD3" s="11">
        <v>42025</v>
      </c>
      <c r="AE3" s="9">
        <v>1163.699951171875</v>
      </c>
      <c r="AF3" s="11">
        <v>42069</v>
      </c>
      <c r="AG3" s="14">
        <v>41983</v>
      </c>
      <c r="AH3" s="9">
        <v>1303.5</v>
      </c>
      <c r="AI3" s="11">
        <v>42025</v>
      </c>
      <c r="AJ3" s="9">
        <v>1163.699951171875</v>
      </c>
      <c r="AK3" s="15">
        <v>42069</v>
      </c>
      <c r="AL3" s="11">
        <v>41892</v>
      </c>
      <c r="AM3" s="9">
        <v>1303.5</v>
      </c>
      <c r="AN3" s="11">
        <v>42025</v>
      </c>
      <c r="AO3" s="9">
        <v>1133</v>
      </c>
      <c r="AP3" s="15">
        <v>41950</v>
      </c>
      <c r="AQ3" s="11">
        <v>41708</v>
      </c>
      <c r="AR3" s="9">
        <v>1390.5999755859375</v>
      </c>
      <c r="AS3" s="11">
        <v>41715</v>
      </c>
      <c r="AT3" s="9">
        <v>1133</v>
      </c>
      <c r="AU3" s="11">
        <v>41950</v>
      </c>
      <c r="AV3" s="14">
        <v>41344</v>
      </c>
      <c r="AW3" s="9">
        <v>1613.800048828125</v>
      </c>
      <c r="AX3" s="11">
        <v>41354</v>
      </c>
      <c r="AY3" s="9">
        <v>1133</v>
      </c>
      <c r="AZ3" s="15">
        <v>41950</v>
      </c>
      <c r="BA3" s="12">
        <v>1911.5999755859375</v>
      </c>
      <c r="BB3" s="11">
        <v>40792</v>
      </c>
      <c r="BC3" s="9">
        <v>252.5</v>
      </c>
      <c r="BD3" s="15">
        <v>36397</v>
      </c>
      <c r="BE3" s="16">
        <v>35172</v>
      </c>
    </row>
    <row r="4" spans="1:57" x14ac:dyDescent="0.25">
      <c r="A4" s="11" t="s">
        <v>52</v>
      </c>
      <c r="B4" s="10" t="s">
        <v>53</v>
      </c>
      <c r="C4" s="11">
        <f ca="1">C1</f>
        <v>42530</v>
      </c>
      <c r="E4" s="9">
        <f>犀利環球!H4</f>
        <v>7718</v>
      </c>
      <c r="F4" s="9">
        <f>犀利環球!E4</f>
        <v>7705.9999999999991</v>
      </c>
      <c r="G4" s="13">
        <f>犀利環球!G4</f>
        <v>7681</v>
      </c>
      <c r="H4" s="11">
        <v>42068</v>
      </c>
      <c r="I4" s="9">
        <v>7843</v>
      </c>
      <c r="J4" s="11">
        <v>42069</v>
      </c>
      <c r="K4" s="9">
        <v>7681</v>
      </c>
      <c r="L4" s="11">
        <v>42072</v>
      </c>
      <c r="M4" s="14">
        <v>42066</v>
      </c>
      <c r="N4" s="9">
        <v>7856</v>
      </c>
      <c r="O4" s="11">
        <v>42067</v>
      </c>
      <c r="P4" s="9">
        <v>7681</v>
      </c>
      <c r="Q4" s="15">
        <v>42072</v>
      </c>
      <c r="R4" s="11">
        <v>42059</v>
      </c>
      <c r="S4" s="9">
        <v>7905</v>
      </c>
      <c r="T4" s="11">
        <v>42061</v>
      </c>
      <c r="U4" s="9">
        <v>7681</v>
      </c>
      <c r="V4" s="11">
        <v>42072</v>
      </c>
      <c r="W4" s="14">
        <v>42045</v>
      </c>
      <c r="X4" s="9">
        <v>7905</v>
      </c>
      <c r="Y4" s="11">
        <v>42061</v>
      </c>
      <c r="Z4" s="9">
        <v>7630</v>
      </c>
      <c r="AA4" s="15">
        <v>42047</v>
      </c>
      <c r="AB4" s="11">
        <v>42016</v>
      </c>
      <c r="AC4" s="9">
        <v>8261</v>
      </c>
      <c r="AD4" s="11">
        <v>42019</v>
      </c>
      <c r="AE4" s="9">
        <v>7607</v>
      </c>
      <c r="AF4" s="11">
        <v>42038</v>
      </c>
      <c r="AG4" s="14">
        <v>41983</v>
      </c>
      <c r="AH4" s="9">
        <v>8375</v>
      </c>
      <c r="AI4" s="11">
        <v>41984</v>
      </c>
      <c r="AJ4" s="9">
        <v>7607</v>
      </c>
      <c r="AK4" s="15">
        <v>42038</v>
      </c>
      <c r="AL4" s="11">
        <v>41892</v>
      </c>
      <c r="AM4" s="9">
        <v>9217</v>
      </c>
      <c r="AN4" s="11">
        <v>41893</v>
      </c>
      <c r="AO4" s="9">
        <v>7607</v>
      </c>
      <c r="AP4" s="15">
        <v>42038</v>
      </c>
      <c r="AQ4" s="11">
        <v>41708</v>
      </c>
      <c r="AR4" s="9">
        <v>9454</v>
      </c>
      <c r="AS4" s="11">
        <v>41821</v>
      </c>
      <c r="AT4" s="9">
        <v>7607</v>
      </c>
      <c r="AU4" s="11">
        <v>42038</v>
      </c>
      <c r="AV4" s="14">
        <v>41344</v>
      </c>
      <c r="AW4" s="9">
        <v>10531</v>
      </c>
      <c r="AX4" s="11">
        <v>41375</v>
      </c>
      <c r="AY4" s="9">
        <v>7607</v>
      </c>
      <c r="AZ4" s="15">
        <v>42038</v>
      </c>
      <c r="BA4" s="9">
        <v>11005</v>
      </c>
      <c r="BB4" s="11">
        <v>40751</v>
      </c>
      <c r="BC4" s="9">
        <v>4774</v>
      </c>
      <c r="BD4" s="15">
        <v>36983</v>
      </c>
      <c r="BE4" s="16">
        <v>31790</v>
      </c>
    </row>
    <row r="5" spans="1:57" x14ac:dyDescent="0.25">
      <c r="A5" s="11" t="s">
        <v>54</v>
      </c>
      <c r="B5" s="10" t="s">
        <v>55</v>
      </c>
      <c r="C5" s="11">
        <f ca="1">C1</f>
        <v>42530</v>
      </c>
      <c r="E5" s="9">
        <f>犀利環球!H5</f>
        <v>15088.999999999998</v>
      </c>
      <c r="F5" s="9">
        <f>犀利環球!F5</f>
        <v>15089.999999999998</v>
      </c>
      <c r="G5" s="13">
        <f>犀利環球!G5</f>
        <v>15033</v>
      </c>
      <c r="H5" s="11">
        <v>42068</v>
      </c>
      <c r="I5" s="9">
        <v>15269</v>
      </c>
      <c r="J5" s="11">
        <v>42068</v>
      </c>
      <c r="K5" s="9">
        <v>15026</v>
      </c>
      <c r="L5" s="11">
        <v>42069</v>
      </c>
      <c r="M5" s="14">
        <v>42066</v>
      </c>
      <c r="N5" s="9">
        <v>15396</v>
      </c>
      <c r="O5" s="11">
        <v>42066</v>
      </c>
      <c r="P5" s="9">
        <v>15026</v>
      </c>
      <c r="Q5" s="15">
        <v>42069</v>
      </c>
      <c r="R5" s="11">
        <v>42059</v>
      </c>
      <c r="S5" s="9">
        <v>15552</v>
      </c>
      <c r="T5" s="11">
        <v>42061</v>
      </c>
      <c r="U5" s="9">
        <v>15026</v>
      </c>
      <c r="V5" s="11">
        <v>42069</v>
      </c>
      <c r="W5" s="14">
        <v>42045</v>
      </c>
      <c r="X5" s="9">
        <v>15552</v>
      </c>
      <c r="Y5" s="11">
        <v>42061</v>
      </c>
      <c r="Z5" s="9">
        <v>15026</v>
      </c>
      <c r="AA5" s="15">
        <v>42069</v>
      </c>
      <c r="AB5" s="11">
        <v>42016</v>
      </c>
      <c r="AC5" s="9">
        <v>15552</v>
      </c>
      <c r="AD5" s="11">
        <v>42061</v>
      </c>
      <c r="AE5" s="9">
        <v>14946</v>
      </c>
      <c r="AF5" s="11">
        <v>42027</v>
      </c>
      <c r="AG5" s="14">
        <v>41983</v>
      </c>
      <c r="AH5" s="9">
        <v>15776</v>
      </c>
      <c r="AI5" s="11">
        <v>41989</v>
      </c>
      <c r="AJ5" s="9">
        <v>14946</v>
      </c>
      <c r="AK5" s="15">
        <v>42027</v>
      </c>
      <c r="AL5" s="11">
        <v>41892</v>
      </c>
      <c r="AM5" s="9">
        <v>16515</v>
      </c>
      <c r="AN5" s="11">
        <v>41901</v>
      </c>
      <c r="AO5" s="9">
        <v>14946</v>
      </c>
      <c r="AP5" s="15">
        <v>42027</v>
      </c>
      <c r="AQ5" s="11">
        <v>41708</v>
      </c>
      <c r="AR5" s="9">
        <v>17184</v>
      </c>
      <c r="AS5" s="11">
        <v>41835</v>
      </c>
      <c r="AT5" s="9">
        <v>14946</v>
      </c>
      <c r="AU5" s="11">
        <v>42027</v>
      </c>
      <c r="AV5" s="14">
        <v>41344</v>
      </c>
      <c r="AW5" s="9">
        <v>17184</v>
      </c>
      <c r="AX5" s="11">
        <v>41835</v>
      </c>
      <c r="AY5" s="9">
        <v>14806</v>
      </c>
      <c r="AZ5" s="15">
        <v>41464</v>
      </c>
      <c r="BA5" s="9">
        <v>21138</v>
      </c>
      <c r="BB5" s="11">
        <v>39395</v>
      </c>
      <c r="BC5" s="9">
        <v>13492</v>
      </c>
      <c r="BD5" s="15">
        <v>39836</v>
      </c>
      <c r="BE5" s="16">
        <v>34289</v>
      </c>
    </row>
    <row r="6" spans="1:57" x14ac:dyDescent="0.25">
      <c r="A6" s="11" t="s">
        <v>57</v>
      </c>
      <c r="B6" s="10" t="s">
        <v>56</v>
      </c>
      <c r="C6" s="11">
        <f ca="1">主表!C1</f>
        <v>42530</v>
      </c>
      <c r="E6" s="9">
        <f>犀利環球!H6</f>
        <v>7936</v>
      </c>
      <c r="F6" s="9">
        <f>犀利環球!F6</f>
        <v>7941</v>
      </c>
      <c r="G6" s="13">
        <v>7918</v>
      </c>
      <c r="H6" s="11">
        <v>42068</v>
      </c>
      <c r="I6" s="9">
        <v>8059</v>
      </c>
      <c r="J6" s="11">
        <v>42068</v>
      </c>
      <c r="K6" s="9">
        <v>7918</v>
      </c>
      <c r="L6" s="11">
        <v>42069</v>
      </c>
      <c r="M6" s="14">
        <v>42066</v>
      </c>
      <c r="N6" s="9">
        <v>8059</v>
      </c>
      <c r="O6" s="11">
        <v>42068</v>
      </c>
      <c r="P6" s="9">
        <v>7918</v>
      </c>
      <c r="Q6" s="15">
        <v>42072</v>
      </c>
      <c r="R6" s="11">
        <v>42059</v>
      </c>
      <c r="S6" s="9">
        <v>8070</v>
      </c>
      <c r="T6" s="11">
        <v>42061</v>
      </c>
      <c r="U6" s="9">
        <v>7895</v>
      </c>
      <c r="V6" s="11">
        <v>42059</v>
      </c>
      <c r="W6" s="14">
        <v>42045</v>
      </c>
      <c r="X6" s="9">
        <v>8087</v>
      </c>
      <c r="Y6" s="11">
        <v>42052</v>
      </c>
      <c r="Z6" s="9">
        <v>7871</v>
      </c>
      <c r="AA6" s="15">
        <v>42046</v>
      </c>
      <c r="AB6" s="11">
        <v>42016</v>
      </c>
      <c r="AC6" s="9">
        <v>8460</v>
      </c>
      <c r="AD6" s="11">
        <v>42019</v>
      </c>
      <c r="AE6" s="9">
        <v>7808</v>
      </c>
      <c r="AF6" s="11">
        <v>42034</v>
      </c>
      <c r="AG6" s="14">
        <v>41983</v>
      </c>
      <c r="AH6" s="9">
        <v>8744</v>
      </c>
      <c r="AI6" s="11">
        <v>41983</v>
      </c>
      <c r="AJ6" s="9">
        <v>7808</v>
      </c>
      <c r="AK6" s="15">
        <v>42034</v>
      </c>
      <c r="AL6" s="11">
        <v>41892</v>
      </c>
      <c r="AM6" s="9">
        <v>9167</v>
      </c>
      <c r="AN6" s="11">
        <v>41901</v>
      </c>
      <c r="AO6" s="9">
        <v>7808</v>
      </c>
      <c r="AP6" s="15">
        <v>42034</v>
      </c>
      <c r="AQ6" s="11">
        <v>41708</v>
      </c>
      <c r="AR6" s="9">
        <v>9399</v>
      </c>
      <c r="AS6" s="11">
        <v>41823</v>
      </c>
      <c r="AT6" s="9">
        <v>7808</v>
      </c>
      <c r="AU6" s="11">
        <v>42034</v>
      </c>
      <c r="AV6" s="14">
        <v>41344</v>
      </c>
      <c r="AW6" s="9">
        <v>9977</v>
      </c>
      <c r="AX6" s="11">
        <v>41403</v>
      </c>
      <c r="AY6" s="9">
        <v>7808</v>
      </c>
      <c r="AZ6" s="15">
        <v>42034</v>
      </c>
      <c r="BA6" s="9">
        <v>11043</v>
      </c>
      <c r="BB6" s="11">
        <v>39393</v>
      </c>
      <c r="BC6" s="9">
        <v>6170</v>
      </c>
      <c r="BD6" s="15">
        <v>37273</v>
      </c>
      <c r="BE6" s="16">
        <v>31414</v>
      </c>
    </row>
    <row r="7" spans="1:57" x14ac:dyDescent="0.25">
      <c r="A7" s="10" t="s">
        <v>58</v>
      </c>
      <c r="B7" s="10" t="s">
        <v>59</v>
      </c>
      <c r="C7" s="11">
        <f ca="1">C1</f>
        <v>42530</v>
      </c>
      <c r="E7" s="9">
        <f>犀利環球!H7</f>
        <v>10885</v>
      </c>
      <c r="F7" s="9">
        <f>犀利環球!F7</f>
        <v>10889</v>
      </c>
      <c r="G7" s="13">
        <f>犀利環球!G7</f>
        <v>10824</v>
      </c>
      <c r="H7" s="11">
        <v>42068</v>
      </c>
      <c r="I7" s="9">
        <v>11116</v>
      </c>
      <c r="J7" s="11">
        <v>42068</v>
      </c>
      <c r="K7" s="9">
        <v>10824</v>
      </c>
      <c r="L7" s="11">
        <v>42072</v>
      </c>
      <c r="M7" s="14">
        <v>42066</v>
      </c>
      <c r="N7" s="9">
        <v>11219</v>
      </c>
      <c r="O7" s="11">
        <v>42066</v>
      </c>
      <c r="P7" s="9">
        <v>10824</v>
      </c>
      <c r="Q7" s="15">
        <v>42072</v>
      </c>
      <c r="R7" s="11">
        <v>42059</v>
      </c>
      <c r="S7" s="9">
        <v>11392</v>
      </c>
      <c r="T7" s="11">
        <v>42060</v>
      </c>
      <c r="U7" s="9">
        <v>10824</v>
      </c>
      <c r="V7" s="11">
        <v>42072</v>
      </c>
      <c r="W7" s="14">
        <v>42045</v>
      </c>
      <c r="X7" s="9">
        <v>11454</v>
      </c>
      <c r="Y7" s="11">
        <v>42054</v>
      </c>
      <c r="Z7" s="9">
        <v>10824</v>
      </c>
      <c r="AA7" s="15">
        <v>42072</v>
      </c>
      <c r="AB7" s="11">
        <v>42016</v>
      </c>
      <c r="AC7" s="9">
        <v>11878</v>
      </c>
      <c r="AD7" s="11">
        <v>42016</v>
      </c>
      <c r="AE7" s="9">
        <v>10824</v>
      </c>
      <c r="AF7" s="11">
        <v>42072</v>
      </c>
      <c r="AG7" s="14">
        <v>41983</v>
      </c>
      <c r="AH7" s="9">
        <v>12579</v>
      </c>
      <c r="AI7" s="11">
        <v>41989</v>
      </c>
      <c r="AJ7" s="9">
        <v>10824</v>
      </c>
      <c r="AK7" s="15">
        <v>42072</v>
      </c>
      <c r="AL7" s="11">
        <v>41892</v>
      </c>
      <c r="AM7" s="9">
        <v>13006</v>
      </c>
      <c r="AN7" s="11">
        <v>41898</v>
      </c>
      <c r="AO7" s="9">
        <v>10824</v>
      </c>
      <c r="AP7" s="15">
        <v>42072</v>
      </c>
      <c r="AQ7" s="11">
        <v>41708</v>
      </c>
      <c r="AR7" s="9">
        <v>13993</v>
      </c>
      <c r="AS7" s="11">
        <v>41767</v>
      </c>
      <c r="AT7" s="9">
        <v>10824</v>
      </c>
      <c r="AU7" s="11">
        <v>42072</v>
      </c>
      <c r="AV7" s="14">
        <v>41344</v>
      </c>
      <c r="AW7" s="9">
        <v>13993</v>
      </c>
      <c r="AX7" s="11">
        <v>41767</v>
      </c>
      <c r="AY7" s="9">
        <v>10824</v>
      </c>
      <c r="AZ7" s="15">
        <v>42072</v>
      </c>
      <c r="BA7" s="9">
        <v>15988</v>
      </c>
      <c r="BB7" s="11">
        <v>39644</v>
      </c>
      <c r="BC7" s="9">
        <v>8245</v>
      </c>
      <c r="BD7" s="15">
        <v>36825</v>
      </c>
      <c r="BE7" s="16">
        <v>36164</v>
      </c>
    </row>
    <row r="8" spans="1:57" x14ac:dyDescent="0.25">
      <c r="A8" s="11" t="s">
        <v>60</v>
      </c>
      <c r="B8" s="10" t="s">
        <v>61</v>
      </c>
      <c r="C8" s="11">
        <f ca="1">C1</f>
        <v>42530</v>
      </c>
      <c r="E8" s="9">
        <f>犀利環球!H8</f>
        <v>8279</v>
      </c>
      <c r="F8" s="9">
        <f>犀利環球!F8</f>
        <v>8291</v>
      </c>
      <c r="G8" s="13">
        <f>犀利環球!G8</f>
        <v>8255</v>
      </c>
      <c r="H8" s="11">
        <v>42068</v>
      </c>
      <c r="I8" s="9">
        <v>8360</v>
      </c>
      <c r="J8" s="11">
        <v>42068</v>
      </c>
      <c r="K8" s="9">
        <v>8245</v>
      </c>
      <c r="L8" s="11">
        <v>42069</v>
      </c>
      <c r="M8" s="14">
        <v>42066</v>
      </c>
      <c r="N8" s="9">
        <v>8378</v>
      </c>
      <c r="O8" s="11">
        <v>42066</v>
      </c>
      <c r="P8" s="9">
        <v>8245</v>
      </c>
      <c r="Q8" s="15">
        <v>42069</v>
      </c>
      <c r="R8" s="11">
        <v>42059</v>
      </c>
      <c r="S8" s="9">
        <v>8431</v>
      </c>
      <c r="T8" s="11">
        <v>42060</v>
      </c>
      <c r="U8" s="9">
        <v>8245</v>
      </c>
      <c r="V8" s="11">
        <v>42069</v>
      </c>
      <c r="W8" s="14">
        <v>42045</v>
      </c>
      <c r="X8" s="9">
        <v>8469</v>
      </c>
      <c r="Y8" s="11">
        <v>42051</v>
      </c>
      <c r="Z8" s="9">
        <v>8245</v>
      </c>
      <c r="AA8" s="15">
        <v>42069</v>
      </c>
      <c r="AB8" s="11">
        <v>42016</v>
      </c>
      <c r="AC8" s="9">
        <v>8637</v>
      </c>
      <c r="AD8" s="11">
        <v>42020</v>
      </c>
      <c r="AE8" s="9">
        <v>8245</v>
      </c>
      <c r="AF8" s="11">
        <v>42069</v>
      </c>
      <c r="AG8" s="14">
        <v>41983</v>
      </c>
      <c r="AH8" s="9">
        <v>8663</v>
      </c>
      <c r="AI8" s="11">
        <v>41989</v>
      </c>
      <c r="AJ8" s="9">
        <v>8245</v>
      </c>
      <c r="AK8" s="15">
        <v>42069</v>
      </c>
      <c r="AL8" s="11">
        <v>41892</v>
      </c>
      <c r="AM8" s="9">
        <v>9510</v>
      </c>
      <c r="AN8" s="11">
        <v>41927</v>
      </c>
      <c r="AO8" s="9">
        <v>8207</v>
      </c>
      <c r="AP8" s="15">
        <v>41981</v>
      </c>
      <c r="AQ8" s="11">
        <v>41708</v>
      </c>
      <c r="AR8" s="9">
        <v>9956</v>
      </c>
      <c r="AS8" s="11">
        <v>41815</v>
      </c>
      <c r="AT8" s="9">
        <v>8207</v>
      </c>
      <c r="AU8" s="11">
        <v>41981</v>
      </c>
      <c r="AV8" s="14">
        <v>41344</v>
      </c>
      <c r="AW8" s="9">
        <v>10809</v>
      </c>
      <c r="AX8" s="11">
        <v>41366</v>
      </c>
      <c r="AY8" s="9">
        <v>8207</v>
      </c>
      <c r="AZ8" s="15">
        <v>41981</v>
      </c>
      <c r="BA8" s="9">
        <v>13264</v>
      </c>
      <c r="BB8" s="11">
        <v>40847</v>
      </c>
      <c r="BC8" s="9">
        <v>6807</v>
      </c>
      <c r="BD8" s="15">
        <v>36018</v>
      </c>
      <c r="BE8" s="16">
        <v>34291</v>
      </c>
    </row>
    <row r="9" spans="1:57" x14ac:dyDescent="0.25">
      <c r="A9" s="11" t="s">
        <v>62</v>
      </c>
      <c r="B9" s="10" t="s">
        <v>63</v>
      </c>
      <c r="C9" s="11">
        <f ca="1">C1</f>
        <v>42530</v>
      </c>
      <c r="E9" s="9">
        <f>犀利環球!H9</f>
        <v>10157</v>
      </c>
      <c r="F9" s="9">
        <f>犀利環球!F9</f>
        <v>10169</v>
      </c>
      <c r="G9" s="13">
        <f>犀利環球!G9</f>
        <v>10130.999999999998</v>
      </c>
      <c r="H9" s="11">
        <v>42068</v>
      </c>
      <c r="I9" s="9">
        <v>10385</v>
      </c>
      <c r="J9" s="11">
        <v>42068</v>
      </c>
      <c r="K9" s="9">
        <v>10131</v>
      </c>
      <c r="L9" s="11">
        <v>42072</v>
      </c>
      <c r="M9" s="14">
        <v>42066</v>
      </c>
      <c r="N9" s="9">
        <v>10466</v>
      </c>
      <c r="O9" s="11">
        <v>42066</v>
      </c>
      <c r="P9" s="9">
        <v>10130.999999999998</v>
      </c>
      <c r="Q9" s="15">
        <v>42123</v>
      </c>
      <c r="R9" s="11">
        <v>42059</v>
      </c>
      <c r="S9" s="9">
        <v>10589</v>
      </c>
      <c r="T9" s="11">
        <v>42062</v>
      </c>
      <c r="U9" s="9">
        <v>10130.999999999998</v>
      </c>
      <c r="V9" s="11">
        <v>42123</v>
      </c>
      <c r="W9" s="14">
        <v>42045</v>
      </c>
      <c r="X9" s="9">
        <v>10871</v>
      </c>
      <c r="Y9" s="11">
        <v>42045</v>
      </c>
      <c r="Z9" s="9">
        <v>10130.999999999998</v>
      </c>
      <c r="AA9" s="15">
        <v>42123</v>
      </c>
      <c r="AB9" s="11">
        <v>42016</v>
      </c>
      <c r="AC9" s="9">
        <v>12282</v>
      </c>
      <c r="AD9" s="11">
        <v>42019</v>
      </c>
      <c r="AE9" s="9">
        <v>9777</v>
      </c>
      <c r="AF9" s="11">
        <v>42018</v>
      </c>
      <c r="AG9" s="14">
        <v>41983</v>
      </c>
      <c r="AH9" s="9">
        <v>12282</v>
      </c>
      <c r="AI9" s="11">
        <v>42019</v>
      </c>
      <c r="AJ9" s="9">
        <v>9777</v>
      </c>
      <c r="AK9" s="15">
        <v>42018</v>
      </c>
      <c r="AL9" s="11">
        <v>41892</v>
      </c>
      <c r="AM9" s="9">
        <v>12282</v>
      </c>
      <c r="AN9" s="11">
        <v>42019</v>
      </c>
      <c r="AO9" s="9">
        <v>9777</v>
      </c>
      <c r="AP9" s="15">
        <v>42018</v>
      </c>
      <c r="AQ9" s="11">
        <v>41708</v>
      </c>
      <c r="AR9" s="9">
        <v>12282</v>
      </c>
      <c r="AS9" s="11">
        <v>42019</v>
      </c>
      <c r="AT9" s="9">
        <v>9777</v>
      </c>
      <c r="AU9" s="11">
        <v>42018</v>
      </c>
      <c r="AV9" s="14">
        <v>41344</v>
      </c>
      <c r="AW9" s="9">
        <v>12282</v>
      </c>
      <c r="AX9" s="11">
        <v>42019</v>
      </c>
      <c r="AY9" s="9">
        <v>9777</v>
      </c>
      <c r="AZ9" s="15">
        <v>42018</v>
      </c>
      <c r="BA9" s="9">
        <v>14167</v>
      </c>
      <c r="BB9" s="11">
        <v>40764</v>
      </c>
      <c r="BC9" s="9">
        <v>5488</v>
      </c>
      <c r="BD9" s="15">
        <v>36825</v>
      </c>
      <c r="BE9" s="16">
        <v>34278</v>
      </c>
    </row>
    <row r="10" spans="1:57" x14ac:dyDescent="0.25">
      <c r="A10" s="11" t="s">
        <v>64</v>
      </c>
      <c r="B10" s="10" t="s">
        <v>65</v>
      </c>
      <c r="C10" s="11">
        <f ca="1">C1</f>
        <v>42530</v>
      </c>
      <c r="E10" s="9">
        <f>犀利環球!H10</f>
        <v>49.67</v>
      </c>
      <c r="F10" s="9">
        <f>犀利環球!F10</f>
        <v>49.76</v>
      </c>
      <c r="G10" s="13">
        <f>犀利環球!G10</f>
        <v>49.32</v>
      </c>
      <c r="H10" s="11">
        <v>42068</v>
      </c>
      <c r="I10" s="9">
        <v>52.400001525878906</v>
      </c>
      <c r="J10" s="11">
        <v>42068</v>
      </c>
      <c r="K10" s="9">
        <v>48.880001068115234</v>
      </c>
      <c r="L10" s="11">
        <v>42069</v>
      </c>
      <c r="M10" s="14">
        <v>42066</v>
      </c>
      <c r="N10" s="9">
        <v>52.400001525878906</v>
      </c>
      <c r="O10" s="11">
        <v>42068</v>
      </c>
      <c r="P10" s="9">
        <v>48.880001068115234</v>
      </c>
      <c r="Q10" s="15">
        <v>42069</v>
      </c>
      <c r="R10" s="11">
        <v>42059</v>
      </c>
      <c r="S10" s="9">
        <v>52.400001525878906</v>
      </c>
      <c r="T10" s="11">
        <v>42068</v>
      </c>
      <c r="U10" s="9">
        <v>47.799999237060547</v>
      </c>
      <c r="V10" s="11">
        <v>42061</v>
      </c>
      <c r="W10" s="14">
        <v>42045</v>
      </c>
      <c r="X10" s="9">
        <v>54.150001525878906</v>
      </c>
      <c r="Y10" s="11">
        <v>42052</v>
      </c>
      <c r="Z10" s="9">
        <v>47.799999237060547</v>
      </c>
      <c r="AA10" s="15">
        <v>42061</v>
      </c>
      <c r="AB10" s="11">
        <v>42016</v>
      </c>
      <c r="AC10" s="9">
        <v>54.240001678466797</v>
      </c>
      <c r="AD10" s="11">
        <v>42038</v>
      </c>
      <c r="AE10" s="9">
        <v>43.580001831054688</v>
      </c>
      <c r="AF10" s="11">
        <v>42033</v>
      </c>
      <c r="AG10" s="14">
        <v>41983</v>
      </c>
      <c r="AH10" s="9">
        <v>63.430000305175781</v>
      </c>
      <c r="AI10" s="11">
        <v>41983</v>
      </c>
      <c r="AJ10" s="9">
        <v>43.580001831054688</v>
      </c>
      <c r="AK10" s="15">
        <v>42033</v>
      </c>
      <c r="AL10" s="11">
        <v>41892</v>
      </c>
      <c r="AM10" s="9">
        <v>95.19000244140625</v>
      </c>
      <c r="AN10" s="11">
        <v>41898</v>
      </c>
      <c r="AO10" s="9">
        <v>43.580001831054688</v>
      </c>
      <c r="AP10" s="15">
        <v>42033</v>
      </c>
      <c r="AQ10" s="11">
        <v>41708</v>
      </c>
      <c r="AR10" s="9">
        <v>107.73000335693359</v>
      </c>
      <c r="AS10" s="11">
        <v>41810</v>
      </c>
      <c r="AT10" s="9">
        <v>43.580001831054688</v>
      </c>
      <c r="AU10" s="11">
        <v>42033</v>
      </c>
      <c r="AV10" s="14">
        <v>41344</v>
      </c>
      <c r="AW10" s="9">
        <v>112.23999786376953</v>
      </c>
      <c r="AX10" s="11">
        <v>41514</v>
      </c>
      <c r="AY10" s="12">
        <v>43.580001831054688</v>
      </c>
      <c r="AZ10" s="15">
        <v>42033</v>
      </c>
      <c r="BA10" s="12">
        <v>147.27000427246094</v>
      </c>
      <c r="BB10" s="11">
        <v>39640</v>
      </c>
      <c r="BC10" s="12">
        <v>10.300000190734863</v>
      </c>
      <c r="BD10" s="15">
        <v>36140</v>
      </c>
      <c r="BE10" s="16">
        <v>35174</v>
      </c>
    </row>
    <row r="11" spans="1:57" x14ac:dyDescent="0.25">
      <c r="A11" s="11" t="s">
        <v>66</v>
      </c>
      <c r="B11" s="10" t="s">
        <v>67</v>
      </c>
      <c r="C11" s="11">
        <f ca="1">C1</f>
        <v>42530</v>
      </c>
      <c r="E11" s="9">
        <f>犀利環球!H11</f>
        <v>97.465000000000003</v>
      </c>
      <c r="F11" s="9">
        <f>犀利環球!F11</f>
        <v>97.844999999999999</v>
      </c>
      <c r="G11" s="13">
        <f>犀利環球!G11</f>
        <v>97.444999999999993</v>
      </c>
      <c r="H11" s="11">
        <v>42068</v>
      </c>
      <c r="I11" s="9">
        <v>97.845001220703125</v>
      </c>
      <c r="J11" s="11">
        <v>42072</v>
      </c>
      <c r="K11" s="9">
        <v>95.860000610351563</v>
      </c>
      <c r="L11" s="11">
        <v>42068</v>
      </c>
      <c r="M11" s="14">
        <v>42066</v>
      </c>
      <c r="N11" s="9">
        <v>97.845001220703125</v>
      </c>
      <c r="O11" s="11">
        <v>42072</v>
      </c>
      <c r="P11" s="9">
        <v>95.135002136230469</v>
      </c>
      <c r="Q11" s="15">
        <v>42066</v>
      </c>
      <c r="R11" s="11">
        <v>42059</v>
      </c>
      <c r="S11" s="9">
        <v>97.845001220703125</v>
      </c>
      <c r="T11" s="11">
        <v>42072</v>
      </c>
      <c r="U11" s="9">
        <v>94.074996948242188</v>
      </c>
      <c r="V11" s="11">
        <v>42061</v>
      </c>
      <c r="W11" s="14">
        <v>42045</v>
      </c>
      <c r="X11" s="9">
        <v>97.845001220703125</v>
      </c>
      <c r="Y11" s="11">
        <v>42072</v>
      </c>
      <c r="Z11" s="9">
        <v>93.834999084472656</v>
      </c>
      <c r="AA11" s="15">
        <v>42052</v>
      </c>
      <c r="AB11" s="11">
        <v>42016</v>
      </c>
      <c r="AC11" s="9">
        <v>97.845001220703125</v>
      </c>
      <c r="AD11" s="11">
        <v>42072</v>
      </c>
      <c r="AE11" s="9">
        <v>91.495002746582031</v>
      </c>
      <c r="AF11" s="11">
        <v>42019</v>
      </c>
      <c r="AG11" s="14">
        <v>41983</v>
      </c>
      <c r="AH11" s="9">
        <v>97.845001220703125</v>
      </c>
      <c r="AI11" s="11">
        <v>42072</v>
      </c>
      <c r="AJ11" s="9">
        <v>87.830001831054687</v>
      </c>
      <c r="AK11" s="15">
        <v>41989</v>
      </c>
      <c r="AL11" s="11">
        <v>41892</v>
      </c>
      <c r="AM11" s="9">
        <v>97.845001220703125</v>
      </c>
      <c r="AN11" s="11">
        <v>42072</v>
      </c>
      <c r="AO11" s="12">
        <v>84.004997253417969</v>
      </c>
      <c r="AP11" s="15">
        <v>41898</v>
      </c>
      <c r="AQ11" s="11">
        <v>41708</v>
      </c>
      <c r="AR11" s="9">
        <v>97.845001220703125</v>
      </c>
      <c r="AS11" s="11">
        <v>42072</v>
      </c>
      <c r="AT11" s="9">
        <v>78.930000305175781</v>
      </c>
      <c r="AU11" s="11">
        <v>41767</v>
      </c>
      <c r="AV11" s="14">
        <v>41344</v>
      </c>
      <c r="AW11" s="12">
        <v>97.845001220703125</v>
      </c>
      <c r="AX11" s="11">
        <v>42072</v>
      </c>
      <c r="AY11" s="12">
        <v>78.930000305175781</v>
      </c>
      <c r="AZ11" s="15">
        <v>41767</v>
      </c>
      <c r="BA11" s="12">
        <v>129.05000305175781</v>
      </c>
      <c r="BB11" s="11">
        <v>31371</v>
      </c>
      <c r="BC11" s="12">
        <v>70.805000305175781</v>
      </c>
      <c r="BD11" s="15">
        <v>39524</v>
      </c>
      <c r="BE11" s="16">
        <v>31371</v>
      </c>
    </row>
    <row r="12" spans="1:57" x14ac:dyDescent="0.25">
      <c r="A12" s="11"/>
    </row>
    <row r="13" spans="1:57" x14ac:dyDescent="0.25">
      <c r="A13" s="11"/>
    </row>
    <row r="14" spans="1:57" x14ac:dyDescent="0.25">
      <c r="A14" s="11"/>
    </row>
    <row r="15" spans="1:57" x14ac:dyDescent="0.25">
      <c r="A15" s="11"/>
    </row>
    <row r="16" spans="1:57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</sheetData>
  <mergeCells count="11">
    <mergeCell ref="AG1:AK1"/>
    <mergeCell ref="AL1:AP1"/>
    <mergeCell ref="AQ1:AU1"/>
    <mergeCell ref="AV1:AZ1"/>
    <mergeCell ref="BA1:BD1"/>
    <mergeCell ref="AB1:AF1"/>
    <mergeCell ref="A1:B1"/>
    <mergeCell ref="H1:L1"/>
    <mergeCell ref="M1:Q1"/>
    <mergeCell ref="R1:V1"/>
    <mergeCell ref="W1:AA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L11"/>
  <sheetViews>
    <sheetView zoomScaleNormal="100" workbookViewId="0">
      <selection activeCell="G17" sqref="G17"/>
    </sheetView>
  </sheetViews>
  <sheetFormatPr defaultRowHeight="16.5" x14ac:dyDescent="0.25"/>
  <cols>
    <col min="2" max="2" width="18.5" bestFit="1" customWidth="1"/>
    <col min="3" max="3" width="11.75" bestFit="1" customWidth="1"/>
    <col min="4" max="4" width="13.875" bestFit="1" customWidth="1"/>
    <col min="8" max="8" width="12.875" style="35" bestFit="1" customWidth="1"/>
    <col min="9" max="9" width="10.125" bestFit="1" customWidth="1"/>
    <col min="12" max="12" width="12.25" style="36" bestFit="1" customWidth="1"/>
  </cols>
  <sheetData>
    <row r="1" spans="1:12" x14ac:dyDescent="0.25">
      <c r="A1" s="20"/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41" t="s">
        <v>18</v>
      </c>
      <c r="I1" s="3" t="s">
        <v>19</v>
      </c>
      <c r="J1" s="3" t="s">
        <v>20</v>
      </c>
      <c r="K1" s="3" t="s">
        <v>21</v>
      </c>
      <c r="L1" s="43" t="s">
        <v>22</v>
      </c>
    </row>
    <row r="2" spans="1:12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42" t="s">
        <v>7</v>
      </c>
      <c r="I2" s="2" t="s">
        <v>8</v>
      </c>
      <c r="J2" s="1" t="s">
        <v>9</v>
      </c>
      <c r="K2" s="1" t="s">
        <v>10</v>
      </c>
      <c r="L2" s="44" t="s">
        <v>11</v>
      </c>
    </row>
    <row r="3" spans="1:12" x14ac:dyDescent="0.25">
      <c r="B3" t="str">
        <f>[2]DDE!$B$25</f>
        <v>黃金201504</v>
      </c>
      <c r="C3" s="40">
        <f ca="1">主表!$C$1</f>
        <v>42530</v>
      </c>
      <c r="D3" s="38"/>
      <c r="E3" s="37">
        <f>[1]DDE!$M$25</f>
        <v>1169.5999999999999</v>
      </c>
      <c r="F3" s="37">
        <f>[1]DDE!$N$25</f>
        <v>1172.9000000000001</v>
      </c>
      <c r="G3" s="37">
        <f>[1]DDE!$O$25</f>
        <v>1166.3</v>
      </c>
      <c r="H3" s="35">
        <f>[1]DDE!$G$25</f>
        <v>1172.5</v>
      </c>
      <c r="I3" s="37">
        <f>[1]DDE!$H$25</f>
        <v>8.1999999999999993</v>
      </c>
      <c r="J3" s="34"/>
      <c r="K3">
        <f>[1]DDE!$J$25</f>
        <v>1</v>
      </c>
      <c r="L3" s="36">
        <f>[1]DDE!$K$25</f>
        <v>27869</v>
      </c>
    </row>
    <row r="4" spans="1:12" x14ac:dyDescent="0.25">
      <c r="B4" t="str">
        <f>[2]DDE!$B$29</f>
        <v>澳幣201503</v>
      </c>
      <c r="C4" s="40">
        <f ca="1">主表!$C$1</f>
        <v>42530</v>
      </c>
      <c r="D4" s="38"/>
      <c r="E4">
        <f>[1]DDE!$M$29 *10000</f>
        <v>7705.9999999999991</v>
      </c>
      <c r="F4">
        <f>[1]DDE!$N$29 *10000</f>
        <v>7724</v>
      </c>
      <c r="G4">
        <f>[1]DDE!$O$29 *10000</f>
        <v>7681</v>
      </c>
      <c r="H4" s="36">
        <f>[1]DDE!$G$29 *10000</f>
        <v>7718</v>
      </c>
      <c r="I4">
        <f>[1]DDE!$H$29 *10000</f>
        <v>0</v>
      </c>
      <c r="J4" s="34"/>
      <c r="K4">
        <f>[1]DDE!$J$29</f>
        <v>1</v>
      </c>
      <c r="L4" s="36">
        <f>[1]DDE!$K$29</f>
        <v>21317</v>
      </c>
    </row>
    <row r="5" spans="1:12" x14ac:dyDescent="0.25">
      <c r="B5" t="str">
        <f>[2]DDE!$B$30</f>
        <v>英鎊201503</v>
      </c>
      <c r="C5" s="40">
        <f ca="1">主表!$C$1</f>
        <v>42530</v>
      </c>
      <c r="D5" s="38"/>
      <c r="E5">
        <f>[1]DDE!$M$30 *10000</f>
        <v>15042</v>
      </c>
      <c r="F5">
        <f>[1]DDE!$N$30 *10000</f>
        <v>15089.999999999998</v>
      </c>
      <c r="G5">
        <f>[1]DDE!$O$30 *10000</f>
        <v>15033</v>
      </c>
      <c r="H5" s="36">
        <f>[1]DDE!$G$30 *10000</f>
        <v>15088.999999999998</v>
      </c>
      <c r="I5">
        <f>[1]DDE!$H$30 *10000</f>
        <v>41</v>
      </c>
      <c r="J5" s="34"/>
      <c r="K5">
        <f>[1]DDE!$J$30</f>
        <v>3</v>
      </c>
      <c r="L5" s="36">
        <f>[1]DDE!$K$30</f>
        <v>15445</v>
      </c>
    </row>
    <row r="6" spans="1:12" x14ac:dyDescent="0.25">
      <c r="B6" t="str">
        <f>[2]DDE!$B$31</f>
        <v>加幣201503</v>
      </c>
      <c r="C6" s="40">
        <f ca="1">主表!$C$1</f>
        <v>42530</v>
      </c>
      <c r="D6" s="38"/>
      <c r="E6">
        <f>[1]DDE!$M$31 *10000</f>
        <v>7922</v>
      </c>
      <c r="F6">
        <f>[1]DDE!$N$31 *10000</f>
        <v>7941</v>
      </c>
      <c r="G6">
        <f>[1]DDE!$O$31 *10000</f>
        <v>7917.9999999999991</v>
      </c>
      <c r="H6" s="36">
        <f>[1]DDE!$G$31 *10000</f>
        <v>7936</v>
      </c>
      <c r="I6">
        <f>[1]DDE!$H$31 *10000</f>
        <v>8</v>
      </c>
      <c r="J6" s="34"/>
      <c r="K6">
        <f>[1]DDE!$J$31</f>
        <v>1</v>
      </c>
      <c r="L6" s="36">
        <f>[1]DDE!$K$31</f>
        <v>6662</v>
      </c>
    </row>
    <row r="7" spans="1:12" x14ac:dyDescent="0.25">
      <c r="B7" t="str">
        <f>[2]DDE!$B$32</f>
        <v>歐元201503</v>
      </c>
      <c r="C7" s="40">
        <f ca="1">主表!$C$1</f>
        <v>42530</v>
      </c>
      <c r="D7" s="38"/>
      <c r="E7">
        <f>[1]DDE!$M$32 *10000</f>
        <v>10835.999999999998</v>
      </c>
      <c r="F7">
        <f>[1]DDE!$N$32 *10000</f>
        <v>10889</v>
      </c>
      <c r="G7">
        <f>[1]DDE!$O$32 *10000</f>
        <v>10824</v>
      </c>
      <c r="H7" s="36">
        <f>[1]DDE!$G$32 *10000</f>
        <v>10885</v>
      </c>
      <c r="I7">
        <f>[1]DDE!$H$32 *10000</f>
        <v>26</v>
      </c>
      <c r="J7" s="34"/>
      <c r="K7">
        <f>[1]DDE!$J$32</f>
        <v>1</v>
      </c>
      <c r="L7" s="36">
        <f>[1]DDE!$K$32</f>
        <v>34935</v>
      </c>
    </row>
    <row r="8" spans="1:12" x14ac:dyDescent="0.25">
      <c r="B8" t="str">
        <f>[2]DDE!$B$33</f>
        <v>日圓201503</v>
      </c>
      <c r="C8" s="40">
        <f ca="1">主表!$C$1</f>
        <v>42530</v>
      </c>
      <c r="D8" s="38"/>
      <c r="E8">
        <f>[1]DDE!$M$33 *1000000</f>
        <v>8278</v>
      </c>
      <c r="F8">
        <f>[1]DDE!$N$33 *1000000</f>
        <v>8291</v>
      </c>
      <c r="G8">
        <f>[1]DDE!$O$33 *1000000</f>
        <v>8255</v>
      </c>
      <c r="H8" s="36">
        <f>[1]DDE!$G$33 *1000000</f>
        <v>8279</v>
      </c>
      <c r="I8">
        <f>[1]DDE!$H$33 *1000000</f>
        <v>-7</v>
      </c>
      <c r="J8" s="34"/>
      <c r="K8">
        <f>[1]DDE!$J$33</f>
        <v>1</v>
      </c>
      <c r="L8" s="36">
        <f>[1]DDE!$K$33</f>
        <v>27822</v>
      </c>
    </row>
    <row r="9" spans="1:12" x14ac:dyDescent="0.25">
      <c r="B9" t="str">
        <f>[2]DDE!$B$34</f>
        <v>瑞郎201503</v>
      </c>
      <c r="C9" s="40">
        <f ca="1">主表!$C$1</f>
        <v>42530</v>
      </c>
      <c r="D9" s="38"/>
      <c r="E9">
        <f>[1]DDE!$M$34 *10000</f>
        <v>10130.999999999998</v>
      </c>
      <c r="F9">
        <f>[1]DDE!$N$34 *10000</f>
        <v>10169</v>
      </c>
      <c r="G9">
        <f>[1]DDE!$O$34 *10000</f>
        <v>10130.999999999998</v>
      </c>
      <c r="H9" s="36">
        <f>[1]DDE!$G$34 *10000</f>
        <v>10157</v>
      </c>
      <c r="I9">
        <f>[1]DDE!$H$34 *10000</f>
        <v>1</v>
      </c>
      <c r="J9" s="34"/>
      <c r="K9">
        <f>[1]DDE!$J$34</f>
        <v>2</v>
      </c>
      <c r="L9" s="36">
        <f>[1]DDE!$K$34</f>
        <v>4113</v>
      </c>
    </row>
    <row r="10" spans="1:12" x14ac:dyDescent="0.25">
      <c r="B10" t="str">
        <f>[2]DDE!$B$38</f>
        <v>輕原油201504</v>
      </c>
      <c r="C10" s="40">
        <f ca="1">主表!$C$1</f>
        <v>42530</v>
      </c>
      <c r="D10" s="38"/>
      <c r="E10" s="37">
        <f>[1]DDE!$M$38</f>
        <v>49.6</v>
      </c>
      <c r="F10">
        <f>[1]DDE!$N$38</f>
        <v>49.76</v>
      </c>
      <c r="G10">
        <f>[1]DDE!$O$38</f>
        <v>49.32</v>
      </c>
      <c r="H10" s="35">
        <f>[1]DDE!$G$38</f>
        <v>49.67</v>
      </c>
      <c r="I10">
        <f>[1]DDE!$H$38</f>
        <v>0.06</v>
      </c>
      <c r="J10" s="34"/>
      <c r="K10">
        <f>[1]DDE!$J$38</f>
        <v>1</v>
      </c>
      <c r="L10" s="36">
        <f>[1]DDE!$K$38</f>
        <v>11918</v>
      </c>
    </row>
    <row r="11" spans="1:12" x14ac:dyDescent="0.25">
      <c r="B11" t="str">
        <f>[2]DDE!$B$71</f>
        <v>美元指數201503</v>
      </c>
      <c r="C11" s="40">
        <f ca="1">主表!$C$1</f>
        <v>42530</v>
      </c>
      <c r="D11" s="38"/>
      <c r="E11" s="37">
        <f>[1]DDE!$M$71</f>
        <v>97.77</v>
      </c>
      <c r="F11">
        <f>[1]DDE!$N$71</f>
        <v>97.844999999999999</v>
      </c>
      <c r="G11">
        <f>[1]DDE!$O$71</f>
        <v>97.444999999999993</v>
      </c>
      <c r="H11" s="35">
        <f>[1]DDE!$G$71</f>
        <v>97.465000000000003</v>
      </c>
      <c r="I11">
        <f>[1]DDE!$H$71</f>
        <v>-0.13900000000000001</v>
      </c>
      <c r="J11" s="34"/>
      <c r="K11">
        <f>[1]DDE!$J$71</f>
        <v>1</v>
      </c>
      <c r="L11" s="36">
        <f>[1]DDE!$K$71</f>
        <v>6688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new_glob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1"/>
  <sheetViews>
    <sheetView workbookViewId="0">
      <selection activeCell="L10" sqref="L10"/>
    </sheetView>
  </sheetViews>
  <sheetFormatPr defaultRowHeight="16.5" x14ac:dyDescent="0.25"/>
  <cols>
    <col min="1" max="1" width="9" style="40"/>
  </cols>
  <sheetData>
    <row r="1" spans="1:3" x14ac:dyDescent="0.25">
      <c r="A1" s="40">
        <v>42069</v>
      </c>
      <c r="B1">
        <v>50400.94140625</v>
      </c>
      <c r="C1">
        <v>49779.359375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犀利環球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A</cp:lastModifiedBy>
  <dcterms:created xsi:type="dcterms:W3CDTF">2015-02-18T05:15:07Z</dcterms:created>
  <dcterms:modified xsi:type="dcterms:W3CDTF">2016-06-09T14:02:14Z</dcterms:modified>
</cp:coreProperties>
</file>