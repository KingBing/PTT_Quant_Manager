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 activeTab="1"/>
  </bookViews>
  <sheets>
    <sheet name="主表" sheetId="2" r:id="rId1"/>
    <sheet name="yeswinRTD" sheetId="7" r:id="rId2"/>
    <sheet name="temp" sheetId="6" r:id="rId3"/>
  </sheets>
  <externalReferences>
    <externalReference r:id="rId4"/>
    <externalReference r:id="rId5"/>
    <externalReference r:id="rId6"/>
  </externalReferences>
  <calcPr calcId="152511" refMode="R1C1"/>
</workbook>
</file>

<file path=xl/calcChain.xml><?xml version="1.0" encoding="utf-8"?>
<calcChain xmlns="http://schemas.openxmlformats.org/spreadsheetml/2006/main">
  <c r="C13" i="2" l="1"/>
  <c r="C1" i="2"/>
  <c r="C13" i="7"/>
  <c r="N13" i="7"/>
  <c r="M13" i="7"/>
  <c r="L13" i="7"/>
  <c r="K13" i="7"/>
  <c r="J13" i="7"/>
  <c r="I13" i="7"/>
  <c r="H13" i="7"/>
  <c r="G13" i="7"/>
  <c r="F13" i="7"/>
  <c r="E13" i="7"/>
  <c r="L11" i="7"/>
  <c r="K11" i="7"/>
  <c r="I11" i="7"/>
  <c r="H11" i="7"/>
  <c r="G11" i="7"/>
  <c r="F11" i="7"/>
  <c r="E11" i="7"/>
  <c r="B11" i="7"/>
  <c r="L10" i="7"/>
  <c r="K10" i="7"/>
  <c r="I10" i="7"/>
  <c r="H10" i="7"/>
  <c r="G10" i="7"/>
  <c r="F10" i="7"/>
  <c r="E10" i="7"/>
  <c r="B10" i="7"/>
  <c r="L9" i="7"/>
  <c r="K9" i="7"/>
  <c r="I9" i="7"/>
  <c r="H9" i="7"/>
  <c r="G9" i="7"/>
  <c r="F9" i="7"/>
  <c r="E9" i="7"/>
  <c r="B9" i="7"/>
  <c r="L8" i="7"/>
  <c r="K8" i="7"/>
  <c r="I8" i="7"/>
  <c r="H8" i="7"/>
  <c r="G8" i="7"/>
  <c r="F8" i="7"/>
  <c r="E8" i="7"/>
  <c r="B8" i="7"/>
  <c r="L7" i="7"/>
  <c r="K7" i="7"/>
  <c r="I7" i="7"/>
  <c r="H7" i="7"/>
  <c r="G7" i="7"/>
  <c r="F7" i="7"/>
  <c r="E7" i="7"/>
  <c r="B7" i="7"/>
  <c r="L6" i="7"/>
  <c r="K6" i="7"/>
  <c r="I6" i="7"/>
  <c r="H6" i="7"/>
  <c r="G6" i="7"/>
  <c r="F6" i="7"/>
  <c r="E6" i="7"/>
  <c r="B6" i="7"/>
  <c r="L5" i="7"/>
  <c r="K5" i="7"/>
  <c r="I5" i="7"/>
  <c r="H5" i="7"/>
  <c r="G5" i="7"/>
  <c r="F5" i="7"/>
  <c r="E5" i="7"/>
  <c r="B5" i="7"/>
  <c r="L4" i="7"/>
  <c r="K4" i="7"/>
  <c r="I4" i="7"/>
  <c r="H4" i="7"/>
  <c r="G4" i="7"/>
  <c r="F4" i="7"/>
  <c r="E4" i="7"/>
  <c r="B4" i="7"/>
  <c r="L3" i="7"/>
  <c r="K3" i="7"/>
  <c r="I3" i="7"/>
  <c r="H3" i="7"/>
  <c r="G3" i="7"/>
  <c r="F3" i="7"/>
  <c r="E3" i="7"/>
  <c r="B3" i="7"/>
  <c r="C10" i="7" l="1"/>
  <c r="C6" i="7"/>
  <c r="C9" i="7"/>
  <c r="C8" i="7"/>
  <c r="C4" i="7"/>
  <c r="C11" i="7"/>
  <c r="C7" i="7"/>
  <c r="C3" i="7"/>
  <c r="C5" i="7"/>
  <c r="C10" i="2"/>
  <c r="C11" i="2"/>
  <c r="C8" i="2"/>
  <c r="C9" i="2"/>
  <c r="C6" i="2"/>
  <c r="C7" i="2"/>
  <c r="C4" i="2"/>
  <c r="C5" i="2"/>
  <c r="C3" i="2"/>
  <c r="E11" i="2" l="1"/>
  <c r="F11" i="2"/>
  <c r="G11" i="2"/>
  <c r="E9" i="2"/>
  <c r="F9" i="2"/>
  <c r="G9" i="2"/>
  <c r="E10" i="2"/>
  <c r="F10" i="2"/>
  <c r="G10" i="2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  <c r="D13" i="7" l="1"/>
  <c r="D13" i="2" s="1"/>
  <c r="B13" i="7"/>
  <c r="B13" i="2" s="1"/>
</calcChain>
</file>

<file path=xl/sharedStrings.xml><?xml version="1.0" encoding="utf-8"?>
<sst xmlns="http://schemas.openxmlformats.org/spreadsheetml/2006/main" count="111" uniqueCount="71">
  <si>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</si>
  <si>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</si>
  <si>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</si>
  <si>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</si>
  <si>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</si>
  <si>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</si>
  <si>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</si>
  <si>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</si>
  <si>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</si>
  <si>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</si>
  <si>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</si>
  <si>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</si>
  <si>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</si>
  <si>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</si>
  <si>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</si>
  <si>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</si>
  <si>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</si>
  <si>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</si>
  <si>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</si>
  <si>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</si>
  <si>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</si>
  <si>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</si>
  <si>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</si>
  <si>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</si>
  <si>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</si>
  <si>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</si>
  <si>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</si>
  <si>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</si>
  <si>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</si>
  <si>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</si>
  <si>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</si>
  <si>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</si>
  <si>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</si>
  <si>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</si>
  <si>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</si>
  <si>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</si>
  <si>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</si>
  <si>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</si>
  <si>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</si>
  <si>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</si>
  <si>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</si>
  <si>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</si>
  <si>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</si>
  <si>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</si>
  <si>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</si>
  <si>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</si>
  <si>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</si>
  <si>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</si>
  <si>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</si>
  <si>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</si>
  <si>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</si>
  <si>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</si>
  <si>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</si>
  <si>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</si>
  <si>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</si>
  <si>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</si>
  <si>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</si>
  <si>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</si>
  <si>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</si>
  <si>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</si>
  <si>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</si>
  <si>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</si>
  <si>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</si>
  <si>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</si>
  <si>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</si>
  <si>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</si>
  <si>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</si>
  <si>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</si>
  <si>
    <t>委買</t>
    <phoneticPr fontId="1" type="noConversion"/>
  </si>
  <si>
    <t>委賣</t>
    <phoneticPr fontId="1" type="noConversion"/>
  </si>
  <si>
    <t>N225.JP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</si>
</sst>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  <numFmt numFmtId="182" formatCode="[$-F400]h:mm:ss\ AM/PM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1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182" fontId="0" fillId="0" borderId="0" xfId="0" applyNumberFormat="1">
      <alignment vertic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TD&#20351;&#29992;&#31684;&#2036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TD"/>
      <sheetName val="市場資訊"/>
    </sheetNames>
    <sheetDataSet>
      <sheetData sheetId="0">
        <row r="3">
          <cell r="D3" t="str">
            <v>18:25:48</v>
          </cell>
        </row>
        <row r="6">
          <cell r="M6" t="str">
            <v>日經225指數</v>
          </cell>
        </row>
        <row r="9">
          <cell r="M9">
            <v>5</v>
          </cell>
        </row>
        <row r="11">
          <cell r="M11">
            <v>6</v>
          </cell>
        </row>
        <row r="12">
          <cell r="M12">
            <v>4</v>
          </cell>
        </row>
        <row r="13">
          <cell r="M13">
            <v>1</v>
          </cell>
        </row>
        <row r="14">
          <cell r="M14">
            <v>2</v>
          </cell>
        </row>
        <row r="15">
          <cell r="M15">
            <v>3</v>
          </cell>
        </row>
        <row r="20">
          <cell r="M20">
            <v>7</v>
          </cell>
        </row>
        <row r="21">
          <cell r="M21">
            <v>8</v>
          </cell>
        </row>
        <row r="24">
          <cell r="M24">
            <v>9</v>
          </cell>
        </row>
        <row r="25">
          <cell r="M25">
            <v>10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zoomScale="80" zoomScaleNormal="80" workbookViewId="0">
      <pane ySplit="2" topLeftCell="A3" activePane="bottomLeft" state="frozenSplit"/>
      <selection activeCell="AI92" sqref="AI92"/>
      <selection pane="bottomLeft" activeCell="B20" sqref="B20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hidden="1" customWidth="1"/>
    <col min="9" max="9" width="8" style="9" hidden="1" customWidth="1"/>
    <col min="10" max="10" width="10.5" style="9" hidden="1" customWidth="1"/>
    <col min="11" max="11" width="8" style="9" hidden="1" customWidth="1"/>
    <col min="12" max="12" width="9.5" style="9" hidden="1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6" t="s">
        <v>23</v>
      </c>
      <c r="B1" s="47"/>
      <c r="C1" s="4">
        <f ca="1">TODAY()</f>
        <v>42539</v>
      </c>
      <c r="D1" s="5"/>
      <c r="G1" s="7"/>
      <c r="H1" s="45" t="s">
        <v>24</v>
      </c>
      <c r="I1" s="45"/>
      <c r="J1" s="45"/>
      <c r="K1" s="45"/>
      <c r="L1" s="45"/>
      <c r="M1" s="48" t="s">
        <v>25</v>
      </c>
      <c r="N1" s="45"/>
      <c r="O1" s="45"/>
      <c r="P1" s="45"/>
      <c r="Q1" s="49"/>
      <c r="R1" s="45" t="s">
        <v>26</v>
      </c>
      <c r="S1" s="45"/>
      <c r="T1" s="45"/>
      <c r="U1" s="45"/>
      <c r="V1" s="45"/>
      <c r="W1" s="48" t="s">
        <v>27</v>
      </c>
      <c r="X1" s="45"/>
      <c r="Y1" s="45"/>
      <c r="Z1" s="45"/>
      <c r="AA1" s="49"/>
      <c r="AB1" s="45" t="s">
        <v>28</v>
      </c>
      <c r="AC1" s="45"/>
      <c r="AD1" s="45"/>
      <c r="AE1" s="45"/>
      <c r="AF1" s="45"/>
      <c r="AG1" s="48" t="s">
        <v>29</v>
      </c>
      <c r="AH1" s="45"/>
      <c r="AI1" s="45"/>
      <c r="AJ1" s="45"/>
      <c r="AK1" s="49"/>
      <c r="AL1" s="48" t="s">
        <v>30</v>
      </c>
      <c r="AM1" s="45"/>
      <c r="AN1" s="45"/>
      <c r="AO1" s="45"/>
      <c r="AP1" s="49"/>
      <c r="AQ1" s="45" t="s">
        <v>31</v>
      </c>
      <c r="AR1" s="45"/>
      <c r="AS1" s="45"/>
      <c r="AT1" s="45"/>
      <c r="AU1" s="45"/>
      <c r="AV1" s="48" t="s">
        <v>32</v>
      </c>
      <c r="AW1" s="45"/>
      <c r="AX1" s="45"/>
      <c r="AY1" s="45"/>
      <c r="AZ1" s="49"/>
      <c r="BA1" s="48"/>
      <c r="BB1" s="45"/>
      <c r="BC1" s="45"/>
      <c r="BD1" s="45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42539</v>
      </c>
      <c r="E3" s="9">
        <f>[1]DDE!$G$25</f>
        <v>1172.5</v>
      </c>
      <c r="F3" s="12" t="e">
        <f>#REF!</f>
        <v>#REF!</v>
      </c>
      <c r="G3" s="39" t="e">
        <f>#REF!</f>
        <v>#REF!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42539</v>
      </c>
      <c r="E4" s="9" t="e">
        <f>#REF!</f>
        <v>#REF!</v>
      </c>
      <c r="F4" s="9" t="e">
        <f>#REF!</f>
        <v>#REF!</v>
      </c>
      <c r="G4" s="13" t="e">
        <f>#REF!</f>
        <v>#REF!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42539</v>
      </c>
      <c r="E5" s="9" t="e">
        <f>#REF!</f>
        <v>#REF!</v>
      </c>
      <c r="F5" s="9" t="e">
        <f>#REF!</f>
        <v>#REF!</v>
      </c>
      <c r="G5" s="13" t="e">
        <f>#REF!</f>
        <v>#REF!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42539</v>
      </c>
      <c r="E6" s="9" t="e">
        <f>#REF!</f>
        <v>#REF!</v>
      </c>
      <c r="F6" s="9" t="e">
        <f>#REF!</f>
        <v>#REF!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42539</v>
      </c>
      <c r="E7" s="9" t="e">
        <f>#REF!</f>
        <v>#REF!</v>
      </c>
      <c r="F7" s="9" t="e">
        <f>#REF!</f>
        <v>#REF!</v>
      </c>
      <c r="G7" s="13" t="e">
        <f>#REF!</f>
        <v>#REF!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42539</v>
      </c>
      <c r="E8" s="9" t="e">
        <f>#REF!</f>
        <v>#REF!</v>
      </c>
      <c r="F8" s="9" t="e">
        <f>#REF!</f>
        <v>#REF!</v>
      </c>
      <c r="G8" s="13" t="e">
        <f>#REF!</f>
        <v>#REF!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42539</v>
      </c>
      <c r="E9" s="9" t="e">
        <f>#REF!</f>
        <v>#REF!</v>
      </c>
      <c r="F9" s="9" t="e">
        <f>#REF!</f>
        <v>#REF!</v>
      </c>
      <c r="G9" s="13" t="e">
        <f>#REF!</f>
        <v>#REF!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42539</v>
      </c>
      <c r="E10" s="9" t="e">
        <f>#REF!</f>
        <v>#REF!</v>
      </c>
      <c r="F10" s="9" t="e">
        <f>#REF!</f>
        <v>#REF!</v>
      </c>
      <c r="G10" s="13" t="e">
        <f>#REF!</f>
        <v>#REF!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42539</v>
      </c>
      <c r="E11" s="9" t="e">
        <f>#REF!</f>
        <v>#REF!</v>
      </c>
      <c r="F11" s="9" t="e">
        <f>#REF!</f>
        <v>#REF!</v>
      </c>
      <c r="G11" s="13" t="e">
        <f>#REF!</f>
        <v>#REF!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 t="s">
        <v>70</v>
      </c>
      <c r="B13" s="10" t="str">
        <f>yeswinRTD!B13</f>
        <v>日經225指數</v>
      </c>
      <c r="C13" s="11">
        <f ca="1">TODAY()</f>
        <v>42539</v>
      </c>
      <c r="D13" s="9" t="str">
        <f>yeswinRTD!D13</f>
        <v>18:25:48</v>
      </c>
      <c r="E13" s="9">
        <v>16341</v>
      </c>
      <c r="F13" s="9">
        <v>16342</v>
      </c>
      <c r="G13" s="13">
        <v>15310</v>
      </c>
      <c r="H13" s="11">
        <v>42536</v>
      </c>
      <c r="I13" s="9">
        <v>15997.3</v>
      </c>
      <c r="J13" s="11">
        <v>42536</v>
      </c>
      <c r="K13" s="9">
        <v>15395.98</v>
      </c>
      <c r="L13" s="11">
        <v>42537</v>
      </c>
      <c r="M13" s="14">
        <v>42534</v>
      </c>
      <c r="N13" s="9">
        <v>16342</v>
      </c>
      <c r="O13" s="11">
        <v>42539</v>
      </c>
      <c r="P13" s="9">
        <v>15310</v>
      </c>
      <c r="Q13" s="15">
        <v>42539</v>
      </c>
      <c r="R13" s="11">
        <v>42527</v>
      </c>
      <c r="S13" s="9">
        <v>16830.919999999998</v>
      </c>
      <c r="T13" s="11">
        <v>42529</v>
      </c>
      <c r="U13" s="9">
        <v>15320</v>
      </c>
      <c r="V13" s="11">
        <v>42539</v>
      </c>
      <c r="W13" s="14">
        <v>42509</v>
      </c>
      <c r="X13" s="9">
        <v>17251.36</v>
      </c>
      <c r="Y13" s="11">
        <v>42521</v>
      </c>
      <c r="Z13" s="9">
        <v>15320</v>
      </c>
      <c r="AA13" s="15">
        <v>42539</v>
      </c>
      <c r="AB13" s="11">
        <v>42479</v>
      </c>
      <c r="AC13" s="9">
        <v>17613.560000000001</v>
      </c>
      <c r="AD13" s="11">
        <v>42485</v>
      </c>
      <c r="AE13" s="9">
        <v>15320</v>
      </c>
      <c r="AF13" s="11">
        <v>42539</v>
      </c>
      <c r="AG13" s="14">
        <v>42451</v>
      </c>
      <c r="AH13" s="9">
        <v>17613.560000000001</v>
      </c>
      <c r="AI13" s="11">
        <v>42485</v>
      </c>
      <c r="AJ13" s="9">
        <v>15320</v>
      </c>
      <c r="AK13" s="15">
        <v>42539</v>
      </c>
      <c r="AL13" s="11">
        <v>42359</v>
      </c>
      <c r="AM13" s="9">
        <v>19113.18</v>
      </c>
      <c r="AN13" s="11">
        <v>42368</v>
      </c>
      <c r="AO13" s="9">
        <v>14865.77</v>
      </c>
      <c r="AP13" s="15">
        <v>42412</v>
      </c>
      <c r="AQ13" s="11">
        <v>42174</v>
      </c>
      <c r="AR13" s="9">
        <v>20952.71</v>
      </c>
      <c r="AS13" s="11">
        <v>42179</v>
      </c>
      <c r="AT13" s="9">
        <v>14865.77</v>
      </c>
      <c r="AU13" s="11">
        <v>42412</v>
      </c>
      <c r="AV13" s="14">
        <v>41809</v>
      </c>
      <c r="AW13" s="9">
        <v>20952.71</v>
      </c>
      <c r="AX13" s="11">
        <v>42179</v>
      </c>
      <c r="AY13" s="9">
        <v>14529.03</v>
      </c>
      <c r="AZ13" s="15">
        <v>41929</v>
      </c>
      <c r="BA13" s="9">
        <v>20952.71</v>
      </c>
      <c r="BB13" s="11">
        <v>42179</v>
      </c>
      <c r="BC13" s="9">
        <v>8238.9599999999991</v>
      </c>
      <c r="BD13" s="15">
        <v>41064</v>
      </c>
      <c r="BE13" s="16">
        <v>40962</v>
      </c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G1:AK1"/>
    <mergeCell ref="AL1:AP1"/>
    <mergeCell ref="AQ1:AU1"/>
    <mergeCell ref="AV1:AZ1"/>
    <mergeCell ref="BA1:BD1"/>
    <mergeCell ref="AB1:AF1"/>
    <mergeCell ref="A1:B1"/>
    <mergeCell ref="H1:L1"/>
    <mergeCell ref="M1:Q1"/>
    <mergeCell ref="R1:V1"/>
    <mergeCell ref="W1:AA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N13"/>
  <sheetViews>
    <sheetView tabSelected="1" zoomScaleNormal="100" workbookViewId="0">
      <selection activeCell="B13" sqref="B13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4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  <c r="M2" t="s">
        <v>68</v>
      </c>
      <c r="N2" t="s">
        <v>69</v>
      </c>
    </row>
    <row r="3" spans="1:14" x14ac:dyDescent="0.25">
      <c r="B3" t="str">
        <f>[2]DDE!$B$25</f>
        <v>黃金201504</v>
      </c>
      <c r="C3" s="40">
        <f ca="1">主表!$C$1</f>
        <v>42539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4" x14ac:dyDescent="0.25">
      <c r="B4" t="str">
        <f>[2]DDE!$B$29</f>
        <v>澳幣201503</v>
      </c>
      <c r="C4" s="40">
        <f ca="1">主表!$C$1</f>
        <v>42539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4" x14ac:dyDescent="0.25">
      <c r="B5" t="str">
        <f>[2]DDE!$B$30</f>
        <v>英鎊201503</v>
      </c>
      <c r="C5" s="40">
        <f ca="1">主表!$C$1</f>
        <v>42539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4" x14ac:dyDescent="0.25">
      <c r="B6" t="str">
        <f>[2]DDE!$B$31</f>
        <v>加幣201503</v>
      </c>
      <c r="C6" s="40">
        <f ca="1">主表!$C$1</f>
        <v>42539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4" x14ac:dyDescent="0.25">
      <c r="B7" t="str">
        <f>[2]DDE!$B$32</f>
        <v>歐元201503</v>
      </c>
      <c r="C7" s="40">
        <f ca="1">主表!$C$1</f>
        <v>42539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4" x14ac:dyDescent="0.25">
      <c r="B8" t="str">
        <f>[2]DDE!$B$33</f>
        <v>日圓201503</v>
      </c>
      <c r="C8" s="40">
        <f ca="1">主表!$C$1</f>
        <v>42539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4" x14ac:dyDescent="0.25">
      <c r="B9" t="str">
        <f>[2]DDE!$B$34</f>
        <v>瑞郎201503</v>
      </c>
      <c r="C9" s="40">
        <f ca="1">主表!$C$1</f>
        <v>42539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4" x14ac:dyDescent="0.25">
      <c r="B10" t="str">
        <f>[2]DDE!$B$38</f>
        <v>輕原油201504</v>
      </c>
      <c r="C10" s="40">
        <f ca="1">主表!$C$1</f>
        <v>42539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4" x14ac:dyDescent="0.25">
      <c r="B11" t="str">
        <f>[2]DDE!$B$71</f>
        <v>美元指數201503</v>
      </c>
      <c r="C11" s="40">
        <f ca="1">主表!$C$1</f>
        <v>42539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  <row r="13" spans="1:14" x14ac:dyDescent="0.25">
      <c r="B13" t="str">
        <f>[3]RTD!$M$6</f>
        <v>日經225指數</v>
      </c>
      <c r="C13" s="40">
        <f ca="1">TODAY()</f>
        <v>42539</v>
      </c>
      <c r="D13" s="50" t="str">
        <f>[3]RTD!$D$3</f>
        <v>18:25:48</v>
      </c>
      <c r="E13">
        <f>[3]RTD!$M$13</f>
        <v>1</v>
      </c>
      <c r="F13">
        <f>[3]RTD!$M$14</f>
        <v>2</v>
      </c>
      <c r="G13">
        <f>[3]RTD!$M$15</f>
        <v>3</v>
      </c>
      <c r="H13" s="35">
        <f>[3]RTD!$M$12</f>
        <v>4</v>
      </c>
      <c r="I13">
        <f>[3]RTD!$M$9</f>
        <v>5</v>
      </c>
      <c r="J13">
        <f>[3]RTD!$M$11</f>
        <v>6</v>
      </c>
      <c r="K13">
        <f>[3]RTD!$M$20</f>
        <v>7</v>
      </c>
      <c r="L13" s="36">
        <f>[3]RTD!$M$21</f>
        <v>8</v>
      </c>
      <c r="M13">
        <f>[3]RTD!$M$24</f>
        <v>9</v>
      </c>
      <c r="N13">
        <f>[3]RTD!$M$25</f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D2" sqref="D2"/>
    </sheetView>
  </sheetViews>
  <sheetFormatPr defaultRowHeight="16.5" x14ac:dyDescent="0.25"/>
  <cols>
    <col min="1" max="1" width="9" style="40"/>
  </cols>
  <sheetData>
    <row r="1" spans="1:3" x14ac:dyDescent="0.25">
      <c r="A1" s="40">
        <v>42539</v>
      </c>
      <c r="B1">
        <v>160</v>
      </c>
      <c r="C1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yeswinRTD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</cp:lastModifiedBy>
  <dcterms:created xsi:type="dcterms:W3CDTF">2015-02-18T05:15:07Z</dcterms:created>
  <dcterms:modified xsi:type="dcterms:W3CDTF">2016-06-18T10:25:44Z</dcterms:modified>
</cp:coreProperties>
</file>